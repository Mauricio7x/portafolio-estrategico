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esupuesto" sheetId="1" r:id="rId1"/>
    <sheet name="APU" sheetId="2" r:id="rId2"/>
  </sheets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&quot;$&quot;#,##0.00"/>
    <numFmt numFmtId="166" formatCode="#,##0.00"/>
    <numFmt numFmtId="167" formatCode="0.00&quot;%&quot;"/>
  </numFmts>
  <fonts count="6">
    <font>
      <sz val="11"/>
      <color rgb="FF111827"/>
      <name val="Calibri"/>
    </font>
    <font>
      <sz val="11"/>
      <color rgb="FF111827"/>
      <name val="Calibri"/>
      <b/>
    </font>
    <font>
      <sz val="16"/>
      <color rgb="FFFFFFFF"/>
      <name val="Calibri"/>
      <b/>
    </font>
    <font>
      <sz val="10"/>
      <color rgb="FFFFFFFF"/>
      <name val="Calibri"/>
      <b/>
    </font>
    <font>
      <sz val="10"/>
      <color rgb="FF6B7280"/>
      <name val="Calibri"/>
    </font>
    <font>
      <sz val="12"/>
      <color rgb="FF111827"/>
      <name val="Calibri"/>
      <b/>
    </font>
  </fonts>
  <fills count="8">
    <fill>
      <patternFill patternType="none"/>
    </fill>
    <fill>
      <patternFill patternType="gray125"/>
    </fill>
    <fill>
      <patternFill patternType="solid">
        <fgColor rgb="FF111827"/>
        <bgColor indexed="64"/>
      </patternFill>
    </fill>
    <fill>
      <patternFill patternType="solid">
        <fgColor rgb="FF374151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FFEB9C"/>
        <bgColor indexed="64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Font="1" applyFill="1" applyBorder="1"/>
    <xf numFmtId="0" fontId="1" fillId="0" borderId="0" xfId="0" applyFont="1" applyFill="1" applyBorder="1"/>
    <xf numFmtId="0" fontId="2" fillId="2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left" vertical="center" wrapText="1"/>
    </xf>
    <xf numFmtId="166" fontId="0" fillId="0" borderId="1" xfId="0" applyFont="1" applyFill="1" applyBorder="1" applyNumberFormat="1" applyAlignment="1">
      <alignment horizontal="right" vertical="center" wrapText="1"/>
    </xf>
    <xf numFmtId="164" fontId="0" fillId="0" borderId="1" xfId="0" applyFont="1" applyFill="1" applyBorder="1" applyNumberFormat="1" applyAlignment="1">
      <alignment horizontal="right" vertical="center" wrapText="1"/>
    </xf>
    <xf numFmtId="165" fontId="0" fillId="0" borderId="1" xfId="0" applyFont="1" applyFill="1" applyBorder="1" applyNumberFormat="1" applyAlignment="1">
      <alignment horizontal="right" vertical="center" wrapText="1"/>
    </xf>
    <xf numFmtId="167" fontId="0" fillId="0" borderId="1" xfId="0" applyFont="1" applyFill="1" applyBorder="1" applyNumberFormat="1" applyAlignment="1">
      <alignment horizontal="right" vertical="center" wrapText="1"/>
    </xf>
    <xf numFmtId="0" fontId="5" fillId="4" borderId="1" xfId="0" applyFont="1" applyFill="1" applyBorder="1" applyAlignment="1">
      <alignment horizontal="left" vertical="center" wrapText="1"/>
    </xf>
    <xf numFmtId="164" fontId="5" fillId="4" borderId="1" xfId="0" applyFont="1" applyFill="1" applyBorder="1" applyNumberFormat="1" applyAlignment="1">
      <alignment horizontal="right" vertical="center" wrapText="1"/>
    </xf>
    <xf numFmtId="0" fontId="1" fillId="4" borderId="1" xfId="0" applyFont="1" applyFill="1" applyBorder="1" applyAlignment="1">
      <alignment horizontal="left" vertical="center" wrapText="1"/>
    </xf>
    <xf numFmtId="164" fontId="1" fillId="4" borderId="1" xfId="0" applyFont="1" applyFill="1" applyBorder="1" applyNumberFormat="1" applyAlignment="1">
      <alignment horizontal="right" vertical="center" wrapText="1"/>
    </xf>
    <xf numFmtId="0" fontId="1" fillId="5" borderId="1" xfId="0" applyFont="1" applyFill="1" applyBorder="1" applyAlignment="1">
      <alignment horizontal="left" vertical="center" wrapText="1"/>
    </xf>
    <xf numFmtId="164" fontId="1" fillId="5" borderId="1" xfId="0" applyFont="1" applyFill="1" applyBorder="1" applyNumberFormat="1" applyAlignment="1">
      <alignment horizontal="right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" fillId="6" borderId="1" xfId="0" applyFont="1" applyFill="1" applyBorder="1" applyAlignment="1">
      <alignment horizontal="left" vertical="center" wrapText="1"/>
    </xf>
    <xf numFmtId="164" fontId="1" fillId="6" borderId="1" xfId="0" applyFont="1" applyFill="1" applyBorder="1" applyNumberFormat="1" applyAlignment="1">
      <alignment horizontal="right" vertical="center" wrapText="1"/>
    </xf>
    <xf numFmtId="166" fontId="1" fillId="5" borderId="1" xfId="0" applyFont="1" applyFill="1" applyBorder="1" applyNumberFormat="1" applyAlignment="1">
      <alignment horizontal="right" vertical="center" wrapText="1"/>
    </xf>
    <xf numFmtId="165" fontId="1" fillId="4" borderId="1" xfId="0" applyFont="1" applyFill="1" applyBorder="1" applyNumberFormat="1" applyAlignment="1">
      <alignment horizontal="right" vertical="center" wrapText="1"/>
    </xf>
    <xf numFmtId="0" fontId="0" fillId="7" borderId="1" xfId="0" applyFont="1" applyFill="1" applyBorder="1" applyAlignment="1">
      <alignment horizontal="left" vertical="center" wrapText="1"/>
    </xf>
    <xf numFmtId="164" fontId="0" fillId="7" borderId="1" xfId="0" applyFont="1" applyFill="1" applyBorder="1" applyNumberFormat="1" applyAlignment="1">
      <alignment horizontal="right" vertical="center" wrapText="1"/>
    </xf>
    <xf numFmtId="166" fontId="0" fillId="7" borderId="1" xfId="0" applyFont="1" applyFill="1" applyBorder="1" applyNumberFormat="1" applyAlignment="1">
      <alignment horizontal="right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pageSetUpPr fitToPage="1"/>
  </sheetPr>
  <sheetViews>
    <sheetView workbookViewId="0" showGridLines="0">
      <pane ySplit="5" topLeftCell="A6" activePane="bottomLeft" state="frozen"/>
    </sheetView>
  </sheetViews>
  <sheetFormatPr defaultRowHeight="15"/>
  <cols>
    <col min="1" max="1" width="9" customWidth="1"/>
    <col min="2" max="2" width="14" customWidth="1"/>
    <col min="3" max="3" width="58" customWidth="1"/>
    <col min="4" max="4" width="8" customWidth="1"/>
    <col min="5" max="5" width="11" customWidth="1"/>
    <col min="6" max="6" width="16" customWidth="1"/>
    <col min="7" max="7" width="18" customWidth="1"/>
  </cols>
  <sheetData>
    <row r="1" ht="28" customHeight="1">
      <c r="A1" s="3" t="inlineStr">
        <is>
          <t xml:space="preserve">RED DE FUERZA E ILUMINACIÓN — SEDE EL NOGAL (UPN)</t>
        </is>
      </c>
    </row>
    <row r="2">
      <c r="A2" s="4" t="inlineStr">
        <is>
          <t xml:space="preserve">UNIVERSIDAD PEDAGÓGICA NACIONAL   ·   BOGOTA D.C.   ·   Base de precios: Presupuesto Nogal 4 · contrato adjudicado 2025 (Bogotá)</t>
        </is>
      </c>
    </row>
    <row r="3">
      <c r="A3" s="4" t="inlineStr">
        <is>
          <t xml:space="preserve">CAFETERÍA · SALÓN 200 (SALÓN DE MÚSICA) · CASETA AIRE ACONDICIONADO · SALÓN 216 (SALA DE INSTRUMENTOS). Cantidades y precios del archivo «electrico nogal.xlsx»; formato y AIU (A 19,17 · I 1,5 · U 5,33 + IVA sobre U) del Presupuesto Nogal 4 adjudicado (UPN-VAD-CP-009-2025).</t>
        </is>
      </c>
    </row>
    <row r="4"/>
    <row r="5">
      <c r="A5" s="5" t="inlineStr">
        <is>
          <t xml:space="preserve">ÍTEM</t>
        </is>
      </c>
      <c r="B5" s="5" t="inlineStr">
        <is>
          <t xml:space="preserve">CÓDIGO</t>
        </is>
      </c>
      <c r="C5" s="5" t="inlineStr">
        <is>
          <t xml:space="preserve">DESCRIPCIÓN</t>
        </is>
      </c>
      <c r="D5" s="5" t="inlineStr">
        <is>
          <t xml:space="preserve">UND.</t>
        </is>
      </c>
      <c r="E5" s="5" t="inlineStr">
        <is>
          <t xml:space="preserve">CANT.</t>
        </is>
      </c>
      <c r="F5" s="5" t="inlineStr">
        <is>
          <t xml:space="preserve">VALOR UNITARIO</t>
        </is>
      </c>
      <c r="G5" s="5" t="inlineStr">
        <is>
          <t xml:space="preserve">VALOR TOTAL</t>
        </is>
      </c>
    </row>
    <row r="6">
      <c r="A6" s="18" t="inlineStr">
        <is>
          <t xml:space="preserve">1. CAFETERÍA</t>
        </is>
      </c>
    </row>
    <row r="7">
      <c r="A7" s="15" t="inlineStr">
        <is>
          <t xml:space="preserve">1.1</t>
        </is>
      </c>
      <c r="B7" s="15" t="inlineStr">
        <is>
          <t xml:space="preserve">1.1</t>
        </is>
      </c>
      <c r="C7" s="15" t="inlineStr">
        <is>
          <t xml:space="preserve">Suministro e instalación de tomacoriente monofásica normal de 15 A 120 V en canaleta metálica. Incluye: troquel metálico para toma eléctrica, cable cobre AWG LSZH 3x12 trenzado azul, emplame autodesforre, accesorios y elementos de fijación y anclaje,
transporte, marquilla de identificación y aseo diario.</t>
        </is>
      </c>
      <c r="D7" s="15" t="inlineStr">
        <is>
          <t xml:space="preserve">UND</t>
        </is>
      </c>
      <c r="E7" s="21">
        <v>14</v>
      </c>
      <c r="F7" s="16">
        <v>320488</v>
      </c>
      <c r="G7" s="16">
        <f>E7*F7</f>
        <v>4486832</v>
      </c>
    </row>
    <row r="8">
      <c r="A8" s="15" t="inlineStr">
        <is>
          <t xml:space="preserve">1.2</t>
        </is>
      </c>
      <c r="B8" s="15" t="inlineStr">
        <is>
          <t xml:space="preserve">1.2</t>
        </is>
      </c>
      <c r="C8" s="15" t="inlineStr">
        <is>
          <t xml:space="preserve">Suministro e instalación de tomacoriente monofásica de 15 A 120 V, en muro, tubo PVC 1", tubo PVC 1/2", caja metálica Ref. 5800,  cable cobre AWG LSZH 3x12 trenzado azul, emplame autodesforre, accesorios y elementos de fijación y anclaje, transporte,  marquilla de identificación y aseo diario.</t>
        </is>
      </c>
      <c r="D8" s="15" t="inlineStr">
        <is>
          <t xml:space="preserve">UND</t>
        </is>
      </c>
      <c r="E8" s="21">
        <v>15</v>
      </c>
      <c r="F8" s="16">
        <v>301516</v>
      </c>
      <c r="G8" s="16">
        <f>E8*F8</f>
        <v>4522740</v>
      </c>
    </row>
    <row r="9">
      <c r="A9" s="15" t="inlineStr">
        <is>
          <t xml:space="preserve">1.3</t>
        </is>
      </c>
      <c r="B9" s="15" t="inlineStr">
        <is>
          <t xml:space="preserve">1.3</t>
        </is>
      </c>
      <c r="C9" s="15" t="inlineStr">
        <is>
          <t xml:space="preserve">Suministro e instalación de canaleta metalica calibre 20-22 con división, pintura electrostática de 15x5 cm, color blanca.</t>
        </is>
      </c>
      <c r="D9" s="15" t="inlineStr">
        <is>
          <t xml:space="preserve">ML</t>
        </is>
      </c>
      <c r="E9" s="21">
        <v>14</v>
      </c>
      <c r="F9" s="16">
        <v>74596</v>
      </c>
      <c r="G9" s="16">
        <f>E9*F9</f>
        <v>1044344</v>
      </c>
    </row>
    <row r="10">
      <c r="A10" s="15" t="inlineStr">
        <is>
          <t xml:space="preserve">1.4</t>
        </is>
      </c>
      <c r="B10" s="15" t="inlineStr">
        <is>
          <t xml:space="preserve">1.4</t>
        </is>
      </c>
      <c r="C10" s="15" t="inlineStr">
        <is>
          <t xml:space="preserve">Suministro e instalación de cable de cobre 3x12 trenzado AWG  LSZH azul</t>
        </is>
      </c>
      <c r="D10" s="15" t="inlineStr">
        <is>
          <t xml:space="preserve">ML</t>
        </is>
      </c>
      <c r="E10" s="21">
        <v>57</v>
      </c>
      <c r="F10" s="16">
        <v>30172</v>
      </c>
      <c r="G10" s="16">
        <f>E10*F10</f>
        <v>1719804</v>
      </c>
    </row>
    <row r="11">
      <c r="A11" s="15" t="inlineStr">
        <is>
          <t xml:space="preserve">1.5</t>
        </is>
      </c>
      <c r="B11" s="15" t="inlineStr">
        <is>
          <t xml:space="preserve">1.5</t>
        </is>
      </c>
      <c r="C11" s="15" t="inlineStr">
        <is>
          <t xml:space="preserve">Suministro e instalación de cable de cobre No 8  AWG  LSZH</t>
        </is>
      </c>
      <c r="D11" s="15" t="inlineStr">
        <is>
          <t xml:space="preserve">ML</t>
        </is>
      </c>
      <c r="E11" s="21">
        <v>20</v>
      </c>
      <c r="F11" s="16">
        <v>26328</v>
      </c>
      <c r="G11" s="16">
        <f>E11*F11</f>
        <v>526560</v>
      </c>
    </row>
    <row r="12">
      <c r="A12" s="15" t="inlineStr">
        <is>
          <t xml:space="preserve">1.6</t>
        </is>
      </c>
      <c r="B12" s="15" t="inlineStr">
        <is>
          <t xml:space="preserve">1.6</t>
        </is>
      </c>
      <c r="C12" s="15" t="inlineStr">
        <is>
          <t xml:space="preserve">Suministro e instalación de cable de cobre No 12 AWG LSZH</t>
        </is>
      </c>
      <c r="D12" s="15" t="inlineStr">
        <is>
          <t xml:space="preserve">ML</t>
        </is>
      </c>
      <c r="E12" s="21">
        <v>65</v>
      </c>
      <c r="F12" s="16">
        <v>17552</v>
      </c>
      <c r="G12" s="16">
        <f>E12*F12</f>
        <v>1140880</v>
      </c>
    </row>
    <row r="13">
      <c r="A13" s="15" t="inlineStr">
        <is>
          <t xml:space="preserve">1.7</t>
        </is>
      </c>
      <c r="B13" s="15" t="inlineStr">
        <is>
          <t xml:space="preserve">1.7</t>
        </is>
      </c>
      <c r="C13" s="15" t="inlineStr">
        <is>
          <t xml:space="preserve">Suministro e instalación de alambre de cobre desnudo No 14 AWG</t>
        </is>
      </c>
      <c r="D13" s="15" t="inlineStr">
        <is>
          <t xml:space="preserve">ML</t>
        </is>
      </c>
      <c r="E13" s="21">
        <v>150</v>
      </c>
      <c r="F13" s="16">
        <v>14928</v>
      </c>
      <c r="G13" s="16">
        <f>E13*F13</f>
        <v>2239200</v>
      </c>
    </row>
    <row r="14">
      <c r="A14" s="15" t="inlineStr">
        <is>
          <t xml:space="preserve">1.8</t>
        </is>
      </c>
      <c r="B14" s="15" t="inlineStr">
        <is>
          <t xml:space="preserve">1.8</t>
        </is>
      </c>
      <c r="C14" s="15" t="inlineStr">
        <is>
          <t xml:space="preserve">Suministro e instalación de breaker tipo industrial de 3*40 A de 1x20 A.</t>
        </is>
      </c>
      <c r="D14" s="15" t="inlineStr">
        <is>
          <t xml:space="preserve">UND</t>
        </is>
      </c>
      <c r="E14" s="21">
        <v>1</v>
      </c>
      <c r="F14" s="16">
        <v>81852</v>
      </c>
      <c r="G14" s="16">
        <f>E14*F14</f>
        <v>81852</v>
      </c>
    </row>
    <row r="15">
      <c r="A15" s="15" t="inlineStr">
        <is>
          <t xml:space="preserve">1.9</t>
        </is>
      </c>
      <c r="B15" s="15" t="inlineStr">
        <is>
          <t xml:space="preserve">1.9</t>
        </is>
      </c>
      <c r="C15" s="15" t="inlineStr">
        <is>
          <t xml:space="preserve">Suministro e instalación de breaker tipo enchufable de 1x20 A.</t>
        </is>
      </c>
      <c r="D15" s="15" t="inlineStr">
        <is>
          <t xml:space="preserve">UND</t>
        </is>
      </c>
      <c r="E15" s="21">
        <v>9</v>
      </c>
      <c r="F15" s="16">
        <v>32908</v>
      </c>
      <c r="G15" s="16">
        <f>E15*F15</f>
        <v>296172</v>
      </c>
    </row>
    <row r="16">
      <c r="A16" s="15" t="inlineStr">
        <is>
          <t xml:space="preserve">1.10</t>
        </is>
      </c>
      <c r="B16" s="15" t="inlineStr">
        <is>
          <t xml:space="preserve">1.10</t>
        </is>
      </c>
      <c r="C16" s="15" t="inlineStr">
        <is>
          <t xml:space="preserve">Suministro de tablero metálico trifásico de 18 circuitos  con espacio para totalizador.</t>
        </is>
      </c>
      <c r="D16" s="15" t="inlineStr">
        <is>
          <t xml:space="preserve">UND</t>
        </is>
      </c>
      <c r="E16" s="21">
        <v>1</v>
      </c>
      <c r="F16" s="16">
        <v>3129564</v>
      </c>
      <c r="G16" s="16">
        <f>E16*F16</f>
        <v>3129564</v>
      </c>
    </row>
    <row r="17">
      <c r="A17" s="15" t="inlineStr">
        <is>
          <t xml:space="preserve">1.11</t>
        </is>
      </c>
      <c r="B17" s="15" t="inlineStr">
        <is>
          <t xml:space="preserve">1.11</t>
        </is>
      </c>
      <c r="C17" s="15" t="inlineStr">
        <is>
          <t xml:space="preserve">Desconexión, desmonte y retiro tablero existente</t>
        </is>
      </c>
      <c r="D17" s="15" t="inlineStr">
        <is>
          <t xml:space="preserve">GBL</t>
        </is>
      </c>
      <c r="E17" s="21">
        <v>1</v>
      </c>
      <c r="F17" s="16">
        <v>1529364</v>
      </c>
      <c r="G17" s="16">
        <f>E17*F17</f>
        <v>1529364</v>
      </c>
    </row>
    <row r="18">
      <c r="A18" s="15" t="inlineStr">
        <is>
          <t xml:space="preserve">1.12</t>
        </is>
      </c>
      <c r="B18" s="15" t="inlineStr">
        <is>
          <t xml:space="preserve">1.12</t>
        </is>
      </c>
      <c r="C18" s="15" t="inlineStr">
        <is>
          <t xml:space="preserve">Marquillaje e identificación</t>
        </is>
      </c>
      <c r="D18" s="15" t="inlineStr">
        <is>
          <t xml:space="preserve">GBL</t>
        </is>
      </c>
      <c r="E18" s="21">
        <v>1</v>
      </c>
      <c r="F18" s="16">
        <v>2493992</v>
      </c>
      <c r="G18" s="16">
        <f>E18*F18</f>
        <v>2493992</v>
      </c>
    </row>
    <row r="19">
      <c r="C19" s="13" t="inlineStr">
        <is>
          <t xml:space="preserve">Subtotal CAFETERÍA</t>
        </is>
      </c>
      <c r="G19" s="14">
        <f>SUM(G7:G18)</f>
        <v>23211304</v>
      </c>
    </row>
    <row r="20">
      <c r="A20" s="18" t="inlineStr">
        <is>
          <t xml:space="preserve">2. CAFETERÍA · SALIDAS ILUMINACIÓN</t>
        </is>
      </c>
    </row>
    <row r="21">
      <c r="A21" s="15" t="inlineStr">
        <is>
          <t xml:space="preserve">2.1</t>
        </is>
      </c>
      <c r="B21" s="15" t="inlineStr">
        <is>
          <t xml:space="preserve">2,1,1</t>
        </is>
      </c>
      <c r="C21" s="15" t="inlineStr">
        <is>
          <t xml:space="preserve">Suministro e instalación tubo EMT de 1/2", caja octogonal, cable de cobre aislado No 12 AWG LSZH, tomacorriente monofásica, conector tipo resorte o empalme autodesforre, accesorios y elementos de fijación, transporte, alquiler andamio, armado y desarmado y aseo diario.</t>
        </is>
      </c>
      <c r="D21" s="15" t="inlineStr">
        <is>
          <t xml:space="preserve">UND</t>
        </is>
      </c>
      <c r="E21" s="21">
        <v>26</v>
      </c>
      <c r="F21" s="16">
        <v>312864</v>
      </c>
      <c r="G21" s="16">
        <f>E21*F21</f>
        <v>8134464</v>
      </c>
    </row>
    <row r="22">
      <c r="C22" s="13" t="inlineStr">
        <is>
          <t xml:space="preserve">Subtotal CAFETERÍA · SALIDAS ILUMINACIÓN</t>
        </is>
      </c>
      <c r="G22" s="14">
        <f>SUM(G21:G21)</f>
        <v>8134464</v>
      </c>
    </row>
    <row r="23">
      <c r="A23" s="18" t="inlineStr">
        <is>
          <t xml:space="preserve">3. CAFETERÍA · CONTROLES ILUMINACIÓN</t>
        </is>
      </c>
    </row>
    <row r="24">
      <c r="A24" s="15" t="inlineStr">
        <is>
          <t xml:space="preserve">3.1</t>
        </is>
      </c>
      <c r="B24" s="15" t="inlineStr">
        <is>
          <t xml:space="preserve">2.2.1</t>
        </is>
      </c>
      <c r="C24" s="15" t="inlineStr">
        <is>
          <t xml:space="preserve">Suministro e instalación de interruptor sencill, tubo eMT de 1/2", caja metálica tipo radwell, cable de cobre No 12 AWG LSZH, conector tipo resorte o emplame autodesforre, accesorios y elemntos de fijación,</t>
        </is>
      </c>
      <c r="D24" s="15" t="inlineStr">
        <is>
          <t xml:space="preserve">UND</t>
        </is>
      </c>
      <c r="E24" s="21">
        <v>2</v>
      </c>
      <c r="F24" s="16">
        <v>301516</v>
      </c>
      <c r="G24" s="16">
        <f>E24*F24</f>
        <v>603032</v>
      </c>
    </row>
    <row r="25">
      <c r="A25" s="15" t="inlineStr">
        <is>
          <t xml:space="preserve">3.2</t>
        </is>
      </c>
      <c r="B25" s="15" t="inlineStr">
        <is>
          <t xml:space="preserve">2,2,2</t>
        </is>
      </c>
      <c r="C25" s="15" t="inlineStr">
        <is>
          <t xml:space="preserve">Suministro e instalación de interruptor doble, tubo EMT de 1/2", caja metálica tipo Radwell, cable No 12 AWG LSZH, conector tipo resorte o empalme autodesforre, accesorios y elementos de fijación,  transporte, aseo diario.</t>
        </is>
      </c>
      <c r="D25" s="15" t="inlineStr">
        <is>
          <t xml:space="preserve">UND</t>
        </is>
      </c>
      <c r="E25" s="21">
        <v>1</v>
      </c>
      <c r="F25" s="16">
        <v>309032</v>
      </c>
      <c r="G25" s="16">
        <f>E25*F25</f>
        <v>309032</v>
      </c>
    </row>
    <row r="26">
      <c r="A26" s="15" t="inlineStr">
        <is>
          <t xml:space="preserve">3.3</t>
        </is>
      </c>
      <c r="B26" s="15" t="inlineStr">
        <is>
          <t xml:space="preserve">2,2,2</t>
        </is>
      </c>
      <c r="C26" s="15" t="inlineStr">
        <is>
          <t xml:space="preserve">Suministro e instalación de interruptor triple, tubo EMT de 1/2", caja metálica tipo Radwell, cable No 12 AWG LSZH, conector tipo resorte o empalme autodesforre, accesorios y elementos de fijación,  transporte, aseo diario.</t>
        </is>
      </c>
      <c r="D26" s="15" t="inlineStr">
        <is>
          <t xml:space="preserve">UND</t>
        </is>
      </c>
      <c r="E26" s="21">
        <v>2</v>
      </c>
      <c r="F26" s="16">
        <v>320460</v>
      </c>
      <c r="G26" s="16">
        <f>E26*F26</f>
        <v>640920</v>
      </c>
    </row>
    <row r="27">
      <c r="C27" s="13" t="inlineStr">
        <is>
          <t xml:space="preserve">Subtotal CAFETERÍA · CONTROLES ILUMINACIÓN</t>
        </is>
      </c>
      <c r="G27" s="14">
        <f>SUM(G24:G26)</f>
        <v>1552984</v>
      </c>
    </row>
    <row r="28">
      <c r="A28" s="18" t="inlineStr">
        <is>
          <t xml:space="preserve">4. CAFETERÍA · LUMINARIAS</t>
        </is>
      </c>
    </row>
    <row r="29">
      <c r="A29" s="15" t="inlineStr">
        <is>
          <t xml:space="preserve">4.1</t>
        </is>
      </c>
      <c r="B29" s="15" t="inlineStr">
        <is>
          <t xml:space="preserve">2,3,1</t>
        </is>
      </c>
      <c r="C29" s="15" t="inlineStr">
        <is>
          <t xml:space="preserve">Luminaria LED 120x30 Cm 40 W Sylvania Ref. P28399-41, marco metálico pintura electrostática color blanco, accesotios, elementos de fijación y trasporte.</t>
        </is>
      </c>
      <c r="D29" s="15" t="inlineStr">
        <is>
          <t xml:space="preserve">UND</t>
        </is>
      </c>
      <c r="E29" s="21">
        <v>8</v>
      </c>
      <c r="F29" s="16">
        <v>153584</v>
      </c>
      <c r="G29" s="16">
        <f>E29*F29</f>
        <v>1228672</v>
      </c>
    </row>
    <row r="30">
      <c r="A30" s="15" t="inlineStr">
        <is>
          <t xml:space="preserve">4.2</t>
        </is>
      </c>
      <c r="B30" s="15" t="inlineStr">
        <is>
          <t xml:space="preserve">2,3,3</t>
        </is>
      </c>
      <c r="C30" s="15" t="inlineStr">
        <is>
          <t xml:space="preserve">Luminaria LED 60x60 Cm 40 W Sylvania Ref. P27916, marco metálico pintura electrostática color blanco, accesotios, elementos de fijación y anclaje, trasporte.</t>
        </is>
      </c>
      <c r="D30" s="15" t="inlineStr">
        <is>
          <t xml:space="preserve">UND</t>
        </is>
      </c>
      <c r="E30" s="21">
        <v>16</v>
      </c>
      <c r="F30" s="16">
        <v>131640</v>
      </c>
      <c r="G30" s="16">
        <f>E30*F30</f>
        <v>2106240</v>
      </c>
    </row>
    <row r="31">
      <c r="C31" s="13" t="inlineStr">
        <is>
          <t xml:space="preserve">Subtotal CAFETERÍA · LUMINARIAS</t>
        </is>
      </c>
      <c r="G31" s="14">
        <f>SUM(G29:G30)</f>
        <v>3334912</v>
      </c>
    </row>
    <row r="32">
      <c r="A32" s="18" t="inlineStr">
        <is>
          <t xml:space="preserve">5. SALÓN 200  SALÓN DE MÚSICA · RED FUERZA</t>
        </is>
      </c>
    </row>
    <row r="33">
      <c r="A33" s="15" t="inlineStr">
        <is>
          <t xml:space="preserve">5.1</t>
        </is>
      </c>
      <c r="B33" s="15" t="inlineStr">
        <is>
          <t xml:space="preserve">1.1</t>
        </is>
      </c>
      <c r="C33" s="15" t="inlineStr">
        <is>
          <t xml:space="preserve">Suministro e instalación de tomacoriente monofásica normal de 15 A 120 V en canaleta metálica. Incluye: troquel metálico para toma eléctrica, cable cobre AWG LSZH 3x12 trenzado azul, emplame autodesforre, accesorios y elementos de fijación y anclaje,
transporte, marquilla de identificación y aseo diario.</t>
        </is>
      </c>
      <c r="D33" s="15" t="inlineStr">
        <is>
          <t xml:space="preserve">UND</t>
        </is>
      </c>
      <c r="E33" s="21">
        <v>9</v>
      </c>
      <c r="F33" s="16">
        <v>320488</v>
      </c>
      <c r="G33" s="16">
        <f>E33*F33</f>
        <v>2884392</v>
      </c>
    </row>
    <row r="34">
      <c r="A34" s="15" t="inlineStr">
        <is>
          <t xml:space="preserve">5.2</t>
        </is>
      </c>
      <c r="B34" s="15" t="inlineStr">
        <is>
          <t xml:space="preserve">1.2</t>
        </is>
      </c>
      <c r="C34" s="15" t="inlineStr">
        <is>
          <t xml:space="preserve">Suministro e instalación de canaleta metalica calibre 20-22 con división, pintura electrostática de 15x5 cm, color blanca.</t>
        </is>
      </c>
      <c r="D34" s="15" t="inlineStr">
        <is>
          <t xml:space="preserve">ML</t>
        </is>
      </c>
      <c r="E34" s="21">
        <v>26</v>
      </c>
      <c r="F34" s="16">
        <v>74596</v>
      </c>
      <c r="G34" s="16">
        <f>E34*F34</f>
        <v>1939496</v>
      </c>
    </row>
    <row r="35">
      <c r="A35" s="15" t="inlineStr">
        <is>
          <t xml:space="preserve">5.3</t>
        </is>
      </c>
      <c r="B35" s="15" t="inlineStr">
        <is>
          <t xml:space="preserve">1.3</t>
        </is>
      </c>
      <c r="C35" s="15" t="inlineStr">
        <is>
          <t xml:space="preserve">Suministro e instalación de cable de cobre 3x12 trenzado AWG  LSZH azul</t>
        </is>
      </c>
      <c r="D35" s="15" t="inlineStr">
        <is>
          <t xml:space="preserve">ML</t>
        </is>
      </c>
      <c r="E35" s="21">
        <v>41</v>
      </c>
      <c r="F35" s="16">
        <v>30172</v>
      </c>
      <c r="G35" s="16">
        <f>E35*F35</f>
        <v>1237052</v>
      </c>
    </row>
    <row r="36">
      <c r="A36" s="15" t="inlineStr">
        <is>
          <t xml:space="preserve">5.4</t>
        </is>
      </c>
      <c r="B36" s="15" t="inlineStr">
        <is>
          <t xml:space="preserve">1.4</t>
        </is>
      </c>
      <c r="C36" s="15" t="inlineStr">
        <is>
          <t xml:space="preserve">Suministro e instalación de cable de cobre No 12 AWG LSZH</t>
        </is>
      </c>
      <c r="D36" s="15" t="inlineStr">
        <is>
          <t xml:space="preserve">ML</t>
        </is>
      </c>
      <c r="E36" s="21">
        <v>273</v>
      </c>
      <c r="F36" s="16">
        <v>17552</v>
      </c>
      <c r="G36" s="16">
        <f>E36*F36</f>
        <v>4791696</v>
      </c>
    </row>
    <row r="37">
      <c r="A37" s="15" t="inlineStr">
        <is>
          <t xml:space="preserve">5.5</t>
        </is>
      </c>
      <c r="B37" s="15" t="inlineStr">
        <is>
          <t xml:space="preserve">1.5</t>
        </is>
      </c>
      <c r="C37" s="15" t="inlineStr">
        <is>
          <t xml:space="preserve">Suministro e instalación de alambre de cobre desnudo No 14 AWG</t>
        </is>
      </c>
      <c r="D37" s="15" t="inlineStr">
        <is>
          <t xml:space="preserve">ML</t>
        </is>
      </c>
      <c r="E37" s="21">
        <v>157</v>
      </c>
      <c r="F37" s="16">
        <v>14928</v>
      </c>
      <c r="G37" s="16">
        <f>E37*F37</f>
        <v>2343696</v>
      </c>
    </row>
    <row r="38">
      <c r="A38" s="15" t="inlineStr">
        <is>
          <t xml:space="preserve">5.6</t>
        </is>
      </c>
      <c r="B38" s="15" t="inlineStr">
        <is>
          <t xml:space="preserve">1.6</t>
        </is>
      </c>
      <c r="C38" s="15" t="inlineStr">
        <is>
          <t xml:space="preserve">Suministro e instalación de breaker tipo industrial de 3x40 A.</t>
        </is>
      </c>
      <c r="D38" s="15" t="inlineStr">
        <is>
          <t xml:space="preserve">UND</t>
        </is>
      </c>
      <c r="E38" s="21">
        <v>1</v>
      </c>
      <c r="F38" s="16">
        <v>81852</v>
      </c>
      <c r="G38" s="16">
        <f>E38*F38</f>
        <v>81852</v>
      </c>
    </row>
    <row r="39">
      <c r="A39" s="15" t="inlineStr">
        <is>
          <t xml:space="preserve">5.7</t>
        </is>
      </c>
      <c r="B39" s="15" t="inlineStr">
        <is>
          <t xml:space="preserve">1.7</t>
        </is>
      </c>
      <c r="C39" s="15" t="inlineStr">
        <is>
          <t xml:space="preserve">Suministro e instalación de breaker tipo enchufable de 3x20 A.</t>
        </is>
      </c>
      <c r="D39" s="15" t="inlineStr">
        <is>
          <t xml:space="preserve">UND</t>
        </is>
      </c>
      <c r="E39" s="21">
        <v>2</v>
      </c>
      <c r="F39" s="16">
        <v>55152</v>
      </c>
      <c r="G39" s="16">
        <f>E39*F39</f>
        <v>110304</v>
      </c>
    </row>
    <row r="40">
      <c r="A40" s="15" t="inlineStr">
        <is>
          <t xml:space="preserve">5.8</t>
        </is>
      </c>
      <c r="B40" s="15" t="inlineStr">
        <is>
          <t xml:space="preserve">1.8</t>
        </is>
      </c>
      <c r="C40" s="15" t="inlineStr">
        <is>
          <t xml:space="preserve">Suministro e instalación de breaker tipo enchufable de 1x20 A.</t>
        </is>
      </c>
      <c r="D40" s="15" t="inlineStr">
        <is>
          <t xml:space="preserve">UND</t>
        </is>
      </c>
      <c r="E40" s="21">
        <v>5</v>
      </c>
      <c r="F40" s="16">
        <v>41688</v>
      </c>
      <c r="G40" s="16">
        <f>E40*F40</f>
        <v>208440</v>
      </c>
    </row>
    <row r="41">
      <c r="A41" s="15" t="inlineStr">
        <is>
          <t xml:space="preserve">5.9</t>
        </is>
      </c>
      <c r="B41" s="15" t="inlineStr">
        <is>
          <t xml:space="preserve">1.9</t>
        </is>
      </c>
      <c r="C41" s="15" t="inlineStr">
        <is>
          <t xml:space="preserve">Suministro e instalación de breaker tipo riel de 3x40 A.</t>
        </is>
      </c>
      <c r="D41" s="15" t="inlineStr">
        <is>
          <t xml:space="preserve">UND</t>
        </is>
      </c>
      <c r="E41" s="21">
        <v>1</v>
      </c>
      <c r="F41" s="16">
        <v>81852</v>
      </c>
      <c r="G41" s="16">
        <f>E41*F41</f>
        <v>81852</v>
      </c>
    </row>
    <row r="42">
      <c r="A42" s="15" t="inlineStr">
        <is>
          <t xml:space="preserve">5.10</t>
        </is>
      </c>
      <c r="B42" s="15" t="inlineStr">
        <is>
          <t xml:space="preserve">1.10</t>
        </is>
      </c>
      <c r="C42" s="15" t="inlineStr">
        <is>
          <t xml:space="preserve">Suministro de tablero metálico trifásico de 18 circuitos con espacio para totalizador</t>
        </is>
      </c>
      <c r="D42" s="15" t="inlineStr">
        <is>
          <t xml:space="preserve">UND</t>
        </is>
      </c>
      <c r="E42" s="21">
        <v>1</v>
      </c>
      <c r="F42" s="16">
        <v>3129564</v>
      </c>
      <c r="G42" s="16">
        <f>E42*F42</f>
        <v>3129564</v>
      </c>
    </row>
    <row r="43">
      <c r="A43" s="15" t="inlineStr">
        <is>
          <t xml:space="preserve">5.11</t>
        </is>
      </c>
      <c r="B43" s="15" t="inlineStr">
        <is>
          <t xml:space="preserve">1.11</t>
        </is>
      </c>
      <c r="C43" s="15" t="inlineStr">
        <is>
          <t xml:space="preserve">Suministro e instalación de caja de paso metálica de 30*30*20 Cm, elementos de fijación y anclaje.</t>
        </is>
      </c>
      <c r="D43" s="15" t="inlineStr">
        <is>
          <t xml:space="preserve">UND</t>
        </is>
      </c>
      <c r="E43" s="21">
        <v>5</v>
      </c>
      <c r="F43" s="16">
        <v>88536</v>
      </c>
      <c r="G43" s="16">
        <f>E43*F43</f>
        <v>442680</v>
      </c>
    </row>
    <row r="44">
      <c r="A44" s="15" t="inlineStr">
        <is>
          <t xml:space="preserve">5.12</t>
        </is>
      </c>
      <c r="B44" s="15" t="inlineStr">
        <is>
          <t xml:space="preserve">1.12</t>
        </is>
      </c>
      <c r="C44" s="15" t="inlineStr">
        <is>
          <t xml:space="preserve">Reemplazo tubería sobrepuesta PVC existente de 2" en costado occidental por tubería EMT de 2", incluye unionesy terminales en EMT 2"</t>
        </is>
      </c>
      <c r="D44" s="15" t="inlineStr">
        <is>
          <t xml:space="preserve">ML</t>
        </is>
      </c>
      <c r="E44" s="21">
        <v>27</v>
      </c>
      <c r="F44" s="16">
        <v>133824</v>
      </c>
      <c r="G44" s="16">
        <f>E44*F44</f>
        <v>3613248</v>
      </c>
    </row>
    <row r="45">
      <c r="A45" s="15" t="inlineStr">
        <is>
          <t xml:space="preserve">5.13</t>
        </is>
      </c>
      <c r="B45" s="15" t="inlineStr">
        <is>
          <t xml:space="preserve">1.13</t>
        </is>
      </c>
      <c r="C45" s="15" t="inlineStr">
        <is>
          <t xml:space="preserve">Instalación tubería sobrepuesta de 1 1/2" entre caja de paso existente y caja de paso nueva, incluye uniones y terminales en EMT 1 1/2"</t>
        </is>
      </c>
      <c r="D45" s="15" t="inlineStr">
        <is>
          <t xml:space="preserve">ML</t>
        </is>
      </c>
      <c r="E45" s="21">
        <v>27</v>
      </c>
      <c r="F45" s="16">
        <v>114616</v>
      </c>
      <c r="G45" s="16">
        <f>E45*F45</f>
        <v>3094632</v>
      </c>
    </row>
    <row r="46">
      <c r="A46" s="15" t="inlineStr">
        <is>
          <t xml:space="preserve">5.14</t>
        </is>
      </c>
      <c r="B46" s="15" t="inlineStr">
        <is>
          <t xml:space="preserve">1.14</t>
        </is>
      </c>
      <c r="C46" s="15" t="inlineStr">
        <is>
          <t xml:space="preserve">Regata en muro tubería de 1 1/2"</t>
        </is>
      </c>
      <c r="D46" s="15" t="inlineStr">
        <is>
          <t xml:space="preserve">ML</t>
        </is>
      </c>
      <c r="E46" s="21">
        <v>5</v>
      </c>
      <c r="F46" s="16">
        <v>52956</v>
      </c>
      <c r="G46" s="16">
        <f>E46*F46</f>
        <v>264780</v>
      </c>
    </row>
    <row r="47">
      <c r="A47" s="15" t="inlineStr">
        <is>
          <t xml:space="preserve">5.15</t>
        </is>
      </c>
      <c r="B47" s="15" t="inlineStr">
        <is>
          <t xml:space="preserve">1.15</t>
        </is>
      </c>
      <c r="C47" s="15" t="inlineStr">
        <is>
          <t xml:space="preserve">Regata en piso tubería de 1 1/2"</t>
        </is>
      </c>
      <c r="D47" s="15" t="inlineStr">
        <is>
          <t xml:space="preserve">ML</t>
        </is>
      </c>
      <c r="E47" s="21">
        <v>13</v>
      </c>
      <c r="F47" s="16">
        <v>57040</v>
      </c>
      <c r="G47" s="16">
        <f>E47*F47</f>
        <v>741520</v>
      </c>
    </row>
    <row r="48">
      <c r="A48" s="15" t="inlineStr">
        <is>
          <t xml:space="preserve">5.16</t>
        </is>
      </c>
      <c r="B48" s="15" t="inlineStr">
        <is>
          <t xml:space="preserve">1.16</t>
        </is>
      </c>
      <c r="C48" s="15" t="inlineStr">
        <is>
          <t xml:space="preserve">Acometida entre Tablero principal y Tablero Eléctrico Sala de Música en cable de cobre No 6 AWG LSZH. 3 fases y neutro</t>
        </is>
      </c>
      <c r="D48" s="15" t="inlineStr">
        <is>
          <t xml:space="preserve">ML</t>
        </is>
      </c>
      <c r="E48" s="21">
        <v>240</v>
      </c>
      <c r="F48" s="16">
        <v>47044</v>
      </c>
      <c r="G48" s="16">
        <f>E48*F48</f>
        <v>11290560</v>
      </c>
    </row>
    <row r="49">
      <c r="A49" s="15" t="inlineStr">
        <is>
          <t xml:space="preserve">5.17</t>
        </is>
      </c>
      <c r="B49" s="15" t="inlineStr">
        <is>
          <t xml:space="preserve">1.17</t>
        </is>
      </c>
      <c r="C49" s="15" t="inlineStr">
        <is>
          <t xml:space="preserve">Acometida entre Tablero principal y Tablero Eléctrico Sala de Música en cable de cobre No 10 AWG LSZH. Tierra</t>
        </is>
      </c>
      <c r="D49" s="15" t="inlineStr">
        <is>
          <t xml:space="preserve">ML</t>
        </is>
      </c>
      <c r="E49" s="21">
        <v>60</v>
      </c>
      <c r="F49" s="16">
        <v>36656</v>
      </c>
      <c r="G49" s="16">
        <f>E49*F49</f>
        <v>2199360</v>
      </c>
    </row>
    <row r="50">
      <c r="A50" s="15" t="inlineStr">
        <is>
          <t xml:space="preserve">5.18</t>
        </is>
      </c>
      <c r="B50" s="15" t="inlineStr">
        <is>
          <t xml:space="preserve">1.18</t>
        </is>
      </c>
      <c r="C50" s="15" t="inlineStr">
        <is>
          <t xml:space="preserve">Desalambrado y realambrado de acometida existente por cambio de tubería.</t>
        </is>
      </c>
      <c r="D50" s="15" t="inlineStr">
        <is>
          <t xml:space="preserve">GBL</t>
        </is>
      </c>
      <c r="E50" s="21">
        <v>1</v>
      </c>
      <c r="F50" s="16">
        <v>2712980</v>
      </c>
      <c r="G50" s="16">
        <f>E50*F50</f>
        <v>2712980</v>
      </c>
    </row>
    <row r="51">
      <c r="C51" s="13" t="inlineStr">
        <is>
          <t xml:space="preserve">Subtotal SALÓN 200  SALÓN DE MÚSICA · RED FUERZA</t>
        </is>
      </c>
      <c r="G51" s="14">
        <f>SUM(G33:G50)</f>
        <v>41168104</v>
      </c>
    </row>
    <row r="52">
      <c r="A52" s="18" t="inlineStr">
        <is>
          <t xml:space="preserve">6. SALÓN 200  SALÓN DE MÚSICA · SALIDAS ILUMINACIÓN</t>
        </is>
      </c>
    </row>
    <row r="53">
      <c r="A53" s="15" t="inlineStr">
        <is>
          <t xml:space="preserve">6.1</t>
        </is>
      </c>
      <c r="B53" s="15" t="inlineStr">
        <is>
          <t xml:space="preserve">2,1,1</t>
        </is>
      </c>
      <c r="C53" s="15" t="inlineStr">
        <is>
          <t xml:space="preserve">Suministro e instalación tubo EMT de 1/2", caja octogonal, cable de cobre aislado No 12 AWG LSZH, tomacorriente monofásica, conector tipo resorte o empalme autodesforre, accesorios y elementos de fijación, transporte, alquiler andamio, armado y desarmado y aseo diario.</t>
        </is>
      </c>
      <c r="D53" s="15" t="inlineStr">
        <is>
          <t xml:space="preserve">UND</t>
        </is>
      </c>
      <c r="E53" s="21">
        <v>24</v>
      </c>
      <c r="F53" s="16">
        <v>312864</v>
      </c>
      <c r="G53" s="16">
        <f>E53*F53</f>
        <v>7508736</v>
      </c>
    </row>
    <row r="54">
      <c r="C54" s="13" t="inlineStr">
        <is>
          <t xml:space="preserve">Subtotal SALÓN 200  SALÓN DE MÚSICA · SALIDAS ILUMINACIÓN</t>
        </is>
      </c>
      <c r="G54" s="14">
        <f>SUM(G53:G53)</f>
        <v>7508736</v>
      </c>
    </row>
    <row r="55">
      <c r="A55" s="18" t="inlineStr">
        <is>
          <t xml:space="preserve">7. SALÓN 200  SALÓN DE MÚSICA · CONTROLES ILUMINACIÓN</t>
        </is>
      </c>
    </row>
    <row r="56">
      <c r="A56" s="15" t="inlineStr">
        <is>
          <t xml:space="preserve">7.1</t>
        </is>
      </c>
      <c r="B56" s="15" t="inlineStr">
        <is>
          <t xml:space="preserve">2,2,2</t>
        </is>
      </c>
      <c r="C56" s="15" t="inlineStr">
        <is>
          <t xml:space="preserve">Suministro e instalación de interruptor triple, tubo EMT de 3/4", caja metálica tipo Radwell, cable No 12 aWG LSZH, conector tipo resorte o empalme autodesforre, transporte, aseo diario.</t>
        </is>
      </c>
      <c r="D56" s="15" t="inlineStr">
        <is>
          <t xml:space="preserve">UND</t>
        </is>
      </c>
      <c r="E56" s="21">
        <v>1</v>
      </c>
      <c r="F56" s="16">
        <v>320460</v>
      </c>
      <c r="G56" s="16">
        <f>E56*F56</f>
        <v>320460</v>
      </c>
    </row>
    <row r="57">
      <c r="C57" s="13" t="inlineStr">
        <is>
          <t xml:space="preserve">Subtotal SALÓN 200  SALÓN DE MÚSICA · CONTROLES ILUMINACIÓN</t>
        </is>
      </c>
      <c r="G57" s="14">
        <f>SUM(G56:G56)</f>
        <v>320460</v>
      </c>
    </row>
    <row r="58">
      <c r="A58" s="18" t="inlineStr">
        <is>
          <t xml:space="preserve">8. SALÓN 200  SALÓN DE MÚSICA · LUMINARIAS</t>
        </is>
      </c>
    </row>
    <row r="59">
      <c r="A59" s="19" t="inlineStr">
        <is>
          <t xml:space="preserve">8.1</t>
        </is>
      </c>
      <c r="B59" s="19" t="inlineStr">
        <is>
          <t xml:space="preserve">2,3,1</t>
        </is>
      </c>
      <c r="C59" s="19" t="inlineStr">
        <is>
          <t xml:space="preserve">PENDIENTE-POSIBLE USO DE RIEL Y LUMINARIA SYLVANIA   ⛔ SIN PRECIO: no suma al total</t>
        </is>
      </c>
      <c r="D59" s="19" t="inlineStr">
        <is>
          <t xml:space="preserve">UND</t>
        </is>
      </c>
      <c r="E59" s="19">
        <v>24</v>
      </c>
      <c r="F59" s="19" t="inlineStr">
        <is>
          <t xml:space="preserve"> </t>
        </is>
      </c>
      <c r="G59" s="19" t="inlineStr">
        <is>
          <t xml:space="preserve"> </t>
        </is>
      </c>
    </row>
    <row r="60">
      <c r="A60" s="18" t="inlineStr">
        <is>
          <t xml:space="preserve">9. CASETA AIRE ACONDICIONADO · RED FUERZA</t>
        </is>
      </c>
    </row>
    <row r="61">
      <c r="A61" s="15" t="inlineStr">
        <is>
          <t xml:space="preserve">9.1</t>
        </is>
      </c>
      <c r="B61" s="15" t="inlineStr">
        <is>
          <t xml:space="preserve">1.1</t>
        </is>
      </c>
      <c r="C61" s="15" t="inlineStr">
        <is>
          <t xml:space="preserve">Suministro e instalación de tomacoriente monofásica de 15 A 120 V, en muro, tubo PVC 1", tubo PVC 1/2", caja metálica Ref. 5800,  cable cobre AWG LSZH 3x12 trenzado azul, emplame autodesforre, accesorios y elementos de fijación y anclaje, transporte,  marquilla de identificación y aseo diario.</t>
        </is>
      </c>
      <c r="D61" s="15" t="inlineStr">
        <is>
          <t xml:space="preserve">UND</t>
        </is>
      </c>
      <c r="E61" s="21">
        <v>1</v>
      </c>
      <c r="F61" s="16">
        <v>613836</v>
      </c>
      <c r="G61" s="16">
        <f>E61*F61</f>
        <v>613836</v>
      </c>
    </row>
    <row r="62">
      <c r="C62" s="13" t="inlineStr">
        <is>
          <t xml:space="preserve">Subtotal CASETA AIRE ACONDICIONADO · RED FUERZA</t>
        </is>
      </c>
      <c r="G62" s="14">
        <f>SUM(G61:G61)</f>
        <v>613836</v>
      </c>
    </row>
    <row r="63">
      <c r="A63" s="18" t="inlineStr">
        <is>
          <t xml:space="preserve">10. CASETA AIRE ACONDICIONADO · SALIDAS ILUMINACIÓN</t>
        </is>
      </c>
    </row>
    <row r="64">
      <c r="A64" s="15" t="inlineStr">
        <is>
          <t xml:space="preserve">10.1</t>
        </is>
      </c>
      <c r="B64" s="15" t="inlineStr">
        <is>
          <t xml:space="preserve">2,1,1</t>
        </is>
      </c>
      <c r="C64" s="15" t="inlineStr">
        <is>
          <t xml:space="preserve">Suministro e instalación tubo EMT de 1/2", caja octogonal, cable de cobre aislado No 12 AWG LSZH, tomacorriente monofásica, conector tipo resorte o empalme autodesforre, accesorios y elementos de fijación, transporte, alquiler andamio, armado y desarmado y aseo diario.</t>
        </is>
      </c>
      <c r="D64" s="15" t="inlineStr">
        <is>
          <t xml:space="preserve">UND</t>
        </is>
      </c>
      <c r="E64" s="21">
        <v>2</v>
      </c>
      <c r="F64" s="16">
        <v>312864</v>
      </c>
      <c r="G64" s="16">
        <f>E64*F64</f>
        <v>625728</v>
      </c>
    </row>
    <row r="65">
      <c r="C65" s="13" t="inlineStr">
        <is>
          <t xml:space="preserve">Subtotal CASETA AIRE ACONDICIONADO · SALIDAS ILUMINACIÓN</t>
        </is>
      </c>
      <c r="G65" s="14">
        <f>SUM(G64:G64)</f>
        <v>625728</v>
      </c>
    </row>
    <row r="66">
      <c r="A66" s="18" t="inlineStr">
        <is>
          <t xml:space="preserve">11. CASETA AIRE ACONDICIONADO · CONTROLES ILUMINACIÓN</t>
        </is>
      </c>
    </row>
    <row r="67">
      <c r="A67" s="15" t="inlineStr">
        <is>
          <t xml:space="preserve">11.1</t>
        </is>
      </c>
      <c r="B67" s="15" t="inlineStr">
        <is>
          <t xml:space="preserve">2.2.1</t>
        </is>
      </c>
      <c r="C67" s="15" t="inlineStr">
        <is>
          <t xml:space="preserve">Suministro e instalación de interruptor sencill, tubo eMT de 1/2", caja metálica tipo radwell, cable de cobre No 12 AWG LSZH, conector tipo resorte o emplame autodesforre, accesorios y elemntos de fijación,</t>
        </is>
      </c>
      <c r="D67" s="15" t="inlineStr">
        <is>
          <t xml:space="preserve">UND</t>
        </is>
      </c>
      <c r="E67" s="21">
        <v>3</v>
      </c>
      <c r="F67" s="16">
        <v>301516</v>
      </c>
      <c r="G67" s="16">
        <f>E67*F67</f>
        <v>904548</v>
      </c>
    </row>
    <row r="68">
      <c r="C68" s="13" t="inlineStr">
        <is>
          <t xml:space="preserve">Subtotal CASETA AIRE ACONDICIONADO · CONTROLES ILUMINACIÓN</t>
        </is>
      </c>
      <c r="G68" s="14">
        <f>SUM(G67:G67)</f>
        <v>904548</v>
      </c>
    </row>
    <row r="69">
      <c r="A69" s="18" t="inlineStr">
        <is>
          <t xml:space="preserve">12. CASETA AIRE ACONDICIONADO · LUMINARIAS</t>
        </is>
      </c>
    </row>
    <row r="70">
      <c r="A70" s="15" t="inlineStr">
        <is>
          <t xml:space="preserve">12.1</t>
        </is>
      </c>
      <c r="B70" s="15" t="inlineStr">
        <is>
          <t xml:space="preserve">2,3,3</t>
        </is>
      </c>
      <c r="C70" s="15" t="inlineStr">
        <is>
          <t xml:space="preserve">Luminaria LED 60x60 Cm 40 W Sylvania Ref. P27916, marco metálico pintura electrostática color blanco, accesotios, elementos de fijación y trasporte.</t>
        </is>
      </c>
      <c r="D70" s="15" t="inlineStr">
        <is>
          <t xml:space="preserve">UND</t>
        </is>
      </c>
      <c r="E70" s="21">
        <v>1</v>
      </c>
      <c r="F70" s="16">
        <v>131640</v>
      </c>
      <c r="G70" s="16">
        <f>E70*F70</f>
        <v>131640</v>
      </c>
    </row>
    <row r="71">
      <c r="C71" s="13" t="inlineStr">
        <is>
          <t xml:space="preserve">Subtotal CASETA AIRE ACONDICIONADO · LUMINARIAS</t>
        </is>
      </c>
      <c r="G71" s="14">
        <f>SUM(G70:G70)</f>
        <v>131640</v>
      </c>
    </row>
    <row r="72">
      <c r="A72" s="18" t="inlineStr">
        <is>
          <t xml:space="preserve">13. SALÓN 216  SALA DE INSTRUMENTOS · RED FUERZA</t>
        </is>
      </c>
    </row>
    <row r="73">
      <c r="A73" s="15" t="inlineStr">
        <is>
          <t xml:space="preserve">13.1</t>
        </is>
      </c>
      <c r="B73" s="15" t="inlineStr">
        <is>
          <t xml:space="preserve">1.1</t>
        </is>
      </c>
      <c r="C73" s="15" t="inlineStr">
        <is>
          <t xml:space="preserve">Suministro e instalación de tomacoriente monofásica normal de 15 A 120 V en canaleta metálica. Incluye: troquel metálico para toma eléctrica, cable cobre AWG LSZH 3x12 trenzado azul, emplame autodesforre, accesorios y elementos de fijación y anclaje,
transporte, marquilla de identificación y aseo diario.</t>
        </is>
      </c>
      <c r="D73" s="15" t="inlineStr">
        <is>
          <t xml:space="preserve">UND</t>
        </is>
      </c>
      <c r="E73" s="21">
        <v>13</v>
      </c>
      <c r="F73" s="16">
        <v>320488</v>
      </c>
      <c r="G73" s="16">
        <f>E73*F73</f>
        <v>4166344</v>
      </c>
    </row>
    <row r="74">
      <c r="A74" s="15" t="inlineStr">
        <is>
          <t xml:space="preserve">13.2</t>
        </is>
      </c>
      <c r="B74" s="15" t="inlineStr">
        <is>
          <t xml:space="preserve">1.2</t>
        </is>
      </c>
      <c r="C74" s="15" t="inlineStr">
        <is>
          <t xml:space="preserve">Suministro e instalación de canaleta metalica calibre 20-22 con división, pintura electrostática de 15x5 cm, color blanca.</t>
        </is>
      </c>
      <c r="D74" s="15" t="inlineStr">
        <is>
          <t xml:space="preserve">ML</t>
        </is>
      </c>
      <c r="E74" s="21">
        <v>30</v>
      </c>
      <c r="F74" s="16">
        <v>74596</v>
      </c>
      <c r="G74" s="16">
        <f>E74*F74</f>
        <v>2237880</v>
      </c>
    </row>
    <row r="75">
      <c r="A75" s="15" t="inlineStr">
        <is>
          <t xml:space="preserve">13.3</t>
        </is>
      </c>
      <c r="B75" s="15" t="inlineStr">
        <is>
          <t xml:space="preserve">1.3</t>
        </is>
      </c>
      <c r="C75" s="15" t="inlineStr">
        <is>
          <t xml:space="preserve">Suministro e instalación de cable de cobre 3x12 trenzado AWG  LSZH azul</t>
        </is>
      </c>
      <c r="D75" s="15" t="inlineStr">
        <is>
          <t xml:space="preserve">ML</t>
        </is>
      </c>
      <c r="E75" s="21">
        <v>63</v>
      </c>
      <c r="F75" s="16">
        <v>30172</v>
      </c>
      <c r="G75" s="16">
        <f>E75*F75</f>
        <v>1900836</v>
      </c>
    </row>
    <row r="76">
      <c r="A76" s="15" t="inlineStr">
        <is>
          <t xml:space="preserve">13.4</t>
        </is>
      </c>
      <c r="B76" s="15" t="inlineStr">
        <is>
          <t xml:space="preserve">1.4</t>
        </is>
      </c>
      <c r="C76" s="15" t="inlineStr">
        <is>
          <t xml:space="preserve">Suministro e instalación de cable de cobre No 12 AWG LSZH</t>
        </is>
      </c>
      <c r="D76" s="15" t="inlineStr">
        <is>
          <t xml:space="preserve">ML</t>
        </is>
      </c>
      <c r="E76" s="21">
        <v>273</v>
      </c>
      <c r="F76" s="16">
        <v>17552</v>
      </c>
      <c r="G76" s="16">
        <f>E76*F76</f>
        <v>4791696</v>
      </c>
    </row>
    <row r="77">
      <c r="A77" s="15" t="inlineStr">
        <is>
          <t xml:space="preserve">13.5</t>
        </is>
      </c>
      <c r="B77" s="15" t="inlineStr">
        <is>
          <t xml:space="preserve">1.5</t>
        </is>
      </c>
      <c r="C77" s="15" t="inlineStr">
        <is>
          <t xml:space="preserve">Suministro e instalación de alambre de cobre desnudo No 14 AWG</t>
        </is>
      </c>
      <c r="D77" s="15" t="inlineStr">
        <is>
          <t xml:space="preserve">ML</t>
        </is>
      </c>
      <c r="E77" s="21">
        <v>79</v>
      </c>
      <c r="F77" s="16">
        <v>14928</v>
      </c>
      <c r="G77" s="16">
        <f>E77*F77</f>
        <v>1179312</v>
      </c>
    </row>
    <row r="78">
      <c r="A78" s="15" t="inlineStr">
        <is>
          <t xml:space="preserve">13.6</t>
        </is>
      </c>
      <c r="B78" s="15" t="inlineStr">
        <is>
          <t xml:space="preserve">1.6</t>
        </is>
      </c>
      <c r="C78" s="15" t="inlineStr">
        <is>
          <t xml:space="preserve">Suministro e instalación de breaker tipo enchufable de 1x20 A.</t>
        </is>
      </c>
      <c r="D78" s="15" t="inlineStr">
        <is>
          <t xml:space="preserve">UND</t>
        </is>
      </c>
      <c r="E78" s="21">
        <v>3</v>
      </c>
      <c r="F78" s="16">
        <v>41688</v>
      </c>
      <c r="G78" s="16">
        <f>E78*F78</f>
        <v>125064</v>
      </c>
    </row>
    <row r="79">
      <c r="A79" s="15" t="inlineStr">
        <is>
          <t xml:space="preserve">13.7</t>
        </is>
      </c>
      <c r="B79" s="15" t="inlineStr">
        <is>
          <t xml:space="preserve">1.7</t>
        </is>
      </c>
      <c r="C79" s="15" t="inlineStr">
        <is>
          <t xml:space="preserve">Desconexión, deslambrado  de acometida existente para cambio tablero existente.</t>
        </is>
      </c>
      <c r="D79" s="15" t="inlineStr">
        <is>
          <t xml:space="preserve">GBL</t>
        </is>
      </c>
      <c r="E79" s="21">
        <v>1</v>
      </c>
      <c r="F79" s="16">
        <v>1929244</v>
      </c>
      <c r="G79" s="16">
        <f>E79*F79</f>
        <v>1929244</v>
      </c>
    </row>
    <row r="80">
      <c r="A80" s="15" t="inlineStr">
        <is>
          <t xml:space="preserve">13.8</t>
        </is>
      </c>
      <c r="B80" s="15" t="inlineStr">
        <is>
          <t xml:space="preserve">1.8</t>
        </is>
      </c>
      <c r="C80" s="15" t="inlineStr">
        <is>
          <t xml:space="preserve">Alambrado, traslado y reconexión de red eléctrica existente a nuevo tablero eléctrico.</t>
        </is>
      </c>
      <c r="D80" s="15" t="inlineStr">
        <is>
          <t xml:space="preserve">GBL</t>
        </is>
      </c>
      <c r="E80" s="21">
        <v>1</v>
      </c>
      <c r="F80" s="16">
        <v>3259128</v>
      </c>
      <c r="G80" s="16">
        <f>E80*F80</f>
        <v>3259128</v>
      </c>
    </row>
    <row r="81">
      <c r="C81" s="13" t="inlineStr">
        <is>
          <t xml:space="preserve">Subtotal SALÓN 216  SALA DE INSTRUMENTOS · RED FUERZA</t>
        </is>
      </c>
      <c r="G81" s="14">
        <f>SUM(G73:G80)</f>
        <v>19589504</v>
      </c>
    </row>
    <row r="82">
      <c r="A82" s="18" t="inlineStr">
        <is>
          <t xml:space="preserve">14. SALÓN 216  SALA DE INSTRUMENTOS · SALIDAS ILUMINACIÓN</t>
        </is>
      </c>
    </row>
    <row r="83">
      <c r="A83" s="15" t="inlineStr">
        <is>
          <t xml:space="preserve">14.1</t>
        </is>
      </c>
      <c r="B83" s="15" t="inlineStr">
        <is>
          <t xml:space="preserve">2,1,1</t>
        </is>
      </c>
      <c r="C83" s="15" t="inlineStr">
        <is>
          <t xml:space="preserve">Suministro e instalación tubo EMT de 1/2", caja octogonal, cable de cobre aislado No 12 AWG LSZH, tomacorriente monofásica, conector tipo resorte o empalme autodesforre, accesorios y elementos de fijación, transporte, alquiler andamio, armado y desarmado y aseo diario.</t>
        </is>
      </c>
      <c r="D83" s="15" t="inlineStr">
        <is>
          <t xml:space="preserve">UND</t>
        </is>
      </c>
      <c r="E83" s="21">
        <v>9</v>
      </c>
      <c r="F83" s="16">
        <v>312864</v>
      </c>
      <c r="G83" s="16">
        <f>E83*F83</f>
        <v>2815776</v>
      </c>
    </row>
    <row r="84">
      <c r="C84" s="13" t="inlineStr">
        <is>
          <t xml:space="preserve">Subtotal SALÓN 216  SALA DE INSTRUMENTOS · SALIDAS ILUMINACIÓN</t>
        </is>
      </c>
      <c r="G84" s="14">
        <f>SUM(G83:G83)</f>
        <v>2815776</v>
      </c>
    </row>
    <row r="85">
      <c r="A85" s="18" t="inlineStr">
        <is>
          <t xml:space="preserve">15. SALÓN 216  SALA DE INSTRUMENTOS · CONTROLES ILUMINACIÓN</t>
        </is>
      </c>
    </row>
    <row r="86">
      <c r="A86" s="15" t="inlineStr">
        <is>
          <t xml:space="preserve">15.1</t>
        </is>
      </c>
      <c r="B86" s="15" t="inlineStr">
        <is>
          <t xml:space="preserve">2,2,2</t>
        </is>
      </c>
      <c r="C86" s="15" t="inlineStr">
        <is>
          <t xml:space="preserve">Suministro e instalación de interruptor triple, tubo EMT de 3/4", caja metálica tipo Radwell, cable No 12 aWG LSZH, conector tipo resorte o empalme autodesforre, transporte, aseo diario.</t>
        </is>
      </c>
      <c r="D86" s="15" t="inlineStr">
        <is>
          <t xml:space="preserve">UND</t>
        </is>
      </c>
      <c r="E86" s="21">
        <v>1</v>
      </c>
      <c r="F86" s="16">
        <v>320460</v>
      </c>
      <c r="G86" s="16">
        <f>E86*F86</f>
        <v>320460</v>
      </c>
    </row>
    <row r="87">
      <c r="C87" s="13" t="inlineStr">
        <is>
          <t xml:space="preserve">Subtotal SALÓN 216  SALA DE INSTRUMENTOS · CONTROLES ILUMINACIÓN</t>
        </is>
      </c>
      <c r="G87" s="14">
        <f>SUM(G86:G86)</f>
        <v>320460</v>
      </c>
    </row>
    <row r="88">
      <c r="A88" s="18" t="inlineStr">
        <is>
          <t xml:space="preserve">16. SALÓN 216  SALA DE INSTRUMENTOS · LUMINARIAS</t>
        </is>
      </c>
    </row>
    <row r="89">
      <c r="A89" s="15" t="inlineStr">
        <is>
          <t xml:space="preserve">16.1</t>
        </is>
      </c>
      <c r="B89" s="15" t="inlineStr">
        <is>
          <t xml:space="preserve">2,3,1</t>
        </is>
      </c>
      <c r="C89" s="15" t="inlineStr">
        <is>
          <t xml:space="preserve">Luminaria panel LED 120*30 Cm Sylvania Ref. P27916-41</t>
        </is>
      </c>
      <c r="D89" s="15" t="inlineStr">
        <is>
          <t xml:space="preserve">UND</t>
        </is>
      </c>
      <c r="E89" s="21">
        <v>9</v>
      </c>
      <c r="F89" s="16">
        <v>153584</v>
      </c>
      <c r="G89" s="16">
        <f>E89*F89</f>
        <v>1382256</v>
      </c>
    </row>
    <row r="90">
      <c r="C90" s="13" t="inlineStr">
        <is>
          <t xml:space="preserve">Subtotal SALÓN 216  SALA DE INSTRUMENTOS · LUMINARIAS</t>
        </is>
      </c>
      <c r="G90" s="14">
        <f>SUM(G89:G89)</f>
        <v>1382256</v>
      </c>
    </row>
    <row r="91"/>
    <row r="92">
      <c r="C92" s="13" t="inlineStr">
        <is>
          <t xml:space="preserve">COSTOS DIRECTOS</t>
        </is>
      </c>
      <c r="G92" s="14">
        <f>SUM(G19,G22,G27,G31,G51,G54,G57,G62,G65,G68,G71,G81,G84,G87,G90)</f>
        <v>111614712</v>
      </c>
    </row>
    <row r="93">
      <c r="C93" s="11" t="inlineStr">
        <is>
          <t xml:space="preserve">Administración (A) — 19.17 %</t>
        </is>
      </c>
      <c r="G93" s="12">
        <f>G92*0.1917</f>
        <v>21396540.29</v>
      </c>
    </row>
    <row r="94">
      <c r="C94" s="11" t="inlineStr">
        <is>
          <t xml:space="preserve">Imprevistos (I) — 1.5 %</t>
        </is>
      </c>
      <c r="G94" s="12">
        <f>G92*0.015</f>
        <v>1674220.68</v>
      </c>
    </row>
    <row r="95">
      <c r="C95" s="11" t="inlineStr">
        <is>
          <t xml:space="preserve">Utilidad (U) — 5.33 %</t>
        </is>
      </c>
      <c r="G95" s="12">
        <f>G92*0.0533</f>
        <v>5949064.15</v>
      </c>
    </row>
    <row r="96">
      <c r="C96" s="11" t="inlineStr">
        <is>
          <t xml:space="preserve">IVA sobre la utilidad (19 %)</t>
        </is>
      </c>
      <c r="G96" s="12">
        <f>G95*0.19</f>
        <v>1130322.19</v>
      </c>
    </row>
    <row r="97">
      <c r="C97" s="13" t="inlineStr">
        <is>
          <t xml:space="preserve">COSTOS INDIRECTOS</t>
        </is>
      </c>
      <c r="G97" s="14">
        <f>SUM(G93:G96)</f>
        <v>30150147.310000006</v>
      </c>
    </row>
    <row r="98">
      <c r="C98" s="15" t="inlineStr">
        <is>
          <t xml:space="preserve">TOTAL</t>
        </is>
      </c>
      <c r="G98" s="16">
        <f>ROUND(G92+G97,0)</f>
        <v>141764859</v>
      </c>
    </row>
    <row r="99"/>
    <row r="100">
      <c r="A100" s="2" t="inlineStr">
        <is>
          <t xml:space="preserve">Elaboró:</t>
        </is>
      </c>
      <c r="B100" s="6" t="inlineStr">
        <is>
          <t xml:space="preserve"> </t>
        </is>
      </c>
      <c r="D100" s="2" t="inlineStr">
        <is>
          <t xml:space="preserve">Revisó:</t>
        </is>
      </c>
      <c r="E100" s="6" t="inlineStr">
        <is>
          <t xml:space="preserve"> </t>
        </is>
      </c>
    </row>
    <row r="101">
      <c r="A101" s="2" t="inlineStr">
        <is>
          <t xml:space="preserve">Aprobó:</t>
        </is>
      </c>
      <c r="B101" s="6" t="inlineStr">
        <is>
          <t xml:space="preserve"> </t>
        </is>
      </c>
    </row>
    <row r="102"/>
    <row r="103">
      <c r="A103" s="17" t="inlineStr">
        <is>
          <t xml:space="preserve">Leyenda: fila SIN COLOR = precio de un contrato adjudicado (Nogal 4, 2025) servido en su misma región, o insumos con cotización de proveedor cargada. Fila AMARILLA = precio con APU pero derivado por factor regional o estimado: no está verificado y requiere cotización. Fila ÁMBAR = precio del archivo importado o tecleado a mano, sin APU de respaldo en el catálogo (suma al total y queda declarado). Fila ROJA = ítem sin precio: NO suma al total — un $0 sería un precio inventado.</t>
        </is>
      </c>
    </row>
    <row r="104">
      <c r="A104" s="17" t="inlineStr">
        <is>
          <t xml:space="preserve">Fecha de generación: Base de precios: Presupuesto Nogal 4 · contrato adjudicado 2025 (Bogotá). Región de precios: Bogotá / Sabana. Factor prestacional aplicado sobre el jornal: 1.55. Catálogo 2.0.0, base de precios 2026-08.</t>
        </is>
      </c>
    </row>
    <row r="105">
      <c r="A105" s="17" t="inlineStr">
        <is>
          <t xml:space="preserve">Precios de REFERENCIA regionalizada, no cotizaciones. Este presupuesto es una AYUDA DE LECTURA para decidir a qué presentarse, no una oferta: verifique contra cotización real antes de presentar.</t>
        </is>
      </c>
    </row>
    <row r="106">
      <c r="A106" s="17" t="inlineStr">
        <is>
          <t xml:space="preserve">1 ítem(s) no se pudieron costear y NO suman al total. Se listan con su motivo: un ítem sin precio vale «sin dato», nunca cero.</t>
        </is>
      </c>
    </row>
    <row r="107">
      <c r="A107" s="17" t="inlineStr">
        <is>
          <t xml:space="preserve">53 ítem(s) llevan precio del archivo importado o tecleado a mano, SIN composición de APU que lo respalde: suman al total pero no al reparto por componente, y en el Excel salen marcados.</t>
        </is>
      </c>
    </row>
    <row r="108">
      <c r="A108" s="17" t="inlineStr">
        <is>
          <t xml:space="preserve">El catálogo de precios NO está cargado en Redis: se usó la semilla del repositorio. Cárguelo desde /admin.html para trabajar con la versión vigente.</t>
        </is>
      </c>
    </row>
    <row r="109">
      <c r="A109" s="17" t="inlineStr">
        <is>
          <t xml:space="preserve">El margen NO descuenta la contribución especial de obra pública (5 % del valor del contrato, Ley 418/1997) ni las estampillas. Sobre este precio la contribución sola serían 7.031.726,86 COP. Cárguelas en «deducciones de acta (%)» para ver el margen real.</t>
        </is>
      </c>
    </row>
    <row r="110">
      <c r="A110" s="17" t="inlineStr">
        <is>
          <t xml:space="preserve">Anticipo sin dato: la financiación requerida se calculó como si NO hubiera anticipo, que es el escenario conservador.</t>
        </is>
      </c>
    </row>
    <row r="111">
      <c r="A111" s="17" t="inlineStr">
        <is>
          <t xml:space="preserve">• AIU fuera de la banda típica: Imprevistos (I) en 1.5 % (banda típica 3–5 %). Las bandas del cap. 11 del Manual del Analista son INDICATIVAS, no una regla: el AIU real del contrato Nogal 4 (adjudicado) fue 19,17 / 1,50 / 5,33, con su «I» por debajo de la banda. Verifique que el pliego no fije el AIU y que la oferta lo pueda sostener.</t>
        </is>
      </c>
    </row>
    <row r="112">
      <c r="A112" s="17" t="inlineStr">
        <is>
          <t xml:space="preserve">• Hay ítems sin precio: 1 de 54 ítem(s) (1.85 %) no tienen precio: no suman al total y en el Excel salen en ROJO con las celdas de valor VACÍAS. El porcentaje es de ÍTEMS, no de dinero: cuánto valen es justamente lo que no se sabe, así que el total de abajo es una COTA INFERIOR del presupuesto real.</t>
        </is>
      </c>
    </row>
  </sheetData>
  <mergeCells count="51">
    <mergeCell ref="A1:G1"/>
    <mergeCell ref="A2:G2"/>
    <mergeCell ref="A3:G3"/>
    <mergeCell ref="A6:G6"/>
    <mergeCell ref="C19:F19"/>
    <mergeCell ref="A20:G20"/>
    <mergeCell ref="C22:F22"/>
    <mergeCell ref="A23:G23"/>
    <mergeCell ref="C27:F27"/>
    <mergeCell ref="A28:G28"/>
    <mergeCell ref="C31:F31"/>
    <mergeCell ref="A32:G32"/>
    <mergeCell ref="C51:F51"/>
    <mergeCell ref="A52:G52"/>
    <mergeCell ref="C54:F54"/>
    <mergeCell ref="A55:G55"/>
    <mergeCell ref="C57:F57"/>
    <mergeCell ref="A58:G58"/>
    <mergeCell ref="A60:G60"/>
    <mergeCell ref="C62:F62"/>
    <mergeCell ref="A63:G63"/>
    <mergeCell ref="C65:F65"/>
    <mergeCell ref="A66:G66"/>
    <mergeCell ref="C68:F68"/>
    <mergeCell ref="A69:G69"/>
    <mergeCell ref="C71:F71"/>
    <mergeCell ref="A72:G72"/>
    <mergeCell ref="C81:F81"/>
    <mergeCell ref="A82:G82"/>
    <mergeCell ref="C84:F84"/>
    <mergeCell ref="A85:G85"/>
    <mergeCell ref="C87:F87"/>
    <mergeCell ref="A88:G88"/>
    <mergeCell ref="C90:F90"/>
    <mergeCell ref="C92:F92"/>
    <mergeCell ref="C93:F93"/>
    <mergeCell ref="C94:F94"/>
    <mergeCell ref="C95:F95"/>
    <mergeCell ref="C96:F96"/>
    <mergeCell ref="C97:F97"/>
    <mergeCell ref="C98:F98"/>
    <mergeCell ref="A103:G103"/>
    <mergeCell ref="A104:G104"/>
    <mergeCell ref="A105:G105"/>
    <mergeCell ref="A106:G106"/>
    <mergeCell ref="A107:G107"/>
    <mergeCell ref="A108:G108"/>
    <mergeCell ref="A109:G109"/>
    <mergeCell ref="A110:G110"/>
    <mergeCell ref="A111:G111"/>
    <mergeCell ref="A112:G112"/>
  </mergeCells>
  <pageMargins left="0.4" right="0.4" top="0.6" bottom="0.6" header="0.3" footer="0.3"/>
  <pageSetup orientation="landscape" paperSize="9" fitToWidth="1" fitToHeight="0"/>
</worksheet>
</file>

<file path=xl/worksheets/sheet2.xml><?xml version="1.0" encoding="utf-8"?>
<worksheet xmlns="http://schemas.openxmlformats.org/spreadsheetml/2006/main">
  <sheetPr>
    <pageSetUpPr fitToPage="1"/>
  </sheetPr>
  <sheetViews>
    <sheetView workbookViewId="0" showGridLines="0"/>
  </sheetViews>
  <sheetFormatPr defaultRowHeight="15"/>
  <cols>
    <col min="1" max="1" width="58" customWidth="1"/>
    <col min="2" max="2" width="10" customWidth="1"/>
    <col min="3" max="3" width="13" customWidth="1"/>
    <col min="4" max="4" width="16" customWidth="1"/>
    <col min="5" max="5" width="16" customWidth="1"/>
    <col min="6" max="6" width="14" customWidth="1"/>
    <col min="7" max="7" width="16" customWidth="1"/>
  </cols>
  <sheetData>
    <row r="1">
      <c r="A1" s="3" t="inlineStr">
        <is>
          <t xml:space="preserve">ANÁLISIS DE PRECIOS UNITARIOS</t>
        </is>
      </c>
    </row>
    <row r="2">
      <c r="A2" s="4" t="inlineStr">
        <is>
          <t xml:space="preserve">RED DE FUERZA E ILUMINACIÓN — SEDE EL NOGAL (UPN) · Base de precios: Presupuesto Nogal 4 · contrato adjudicado 2025 (Bogotá)</t>
        </is>
      </c>
    </row>
    <row r="3"/>
    <row r="4">
      <c r="A4" s="2" t="inlineStr">
        <is>
          <t xml:space="preserve">1.1 · Suministro e instalación de tomacoriente monofásica normal de 15 A 120 V en canaleta metálica. Incluye: troquel metálico para toma eléctrica, cable cobre AWG LSZH 3x12 trenzado azul, emplame autodesforre, accesorios y elementos de fijación y anclaje,
transporte, marquilla de identificación y aseo diario.</t>
        </is>
      </c>
      <c r="E4" s="2" t="inlineStr">
        <is>
          <t xml:space="preserve">UNIDAD: UND</t>
        </is>
      </c>
    </row>
    <row r="5">
      <c r="A5" s="15" t="inlineStr">
        <is>
          <t xml:space="preserve">PRECIO SEGÚN ARCHIVO IMPORTADO — SIN APU DE RESPALDO EN EL CATÁLOGO</t>
        </is>
      </c>
      <c r="D5" s="15" t="inlineStr">
        <is>
          <t xml:space="preserve">VR UNITARIO =</t>
        </is>
      </c>
      <c r="E5" s="16">
        <v>320488</v>
      </c>
    </row>
    <row r="6">
      <c r="A6" s="17" t="inlineStr">
        <is>
          <t xml:space="preserve">Referencia del catálogo para este ítem: $183.729 de costo directo. El precio del archivo MANDA; la diferencia queda declarada aquí para poder discutirla.</t>
        </is>
      </c>
    </row>
    <row r="7"/>
    <row r="8">
      <c r="A8" s="2" t="inlineStr">
        <is>
          <t xml:space="preserve">1.2 · Suministro e instalación de tomacoriente monofásica de 15 A 120 V, en muro, tubo PVC 1", tubo PVC 1/2", caja metálica Ref. 5800,  cable cobre AWG LSZH 3x12 trenzado azul, emplame autodesforre, accesorios y elementos de fijación y anclaje, transporte,  marquilla de identificación y aseo diario.</t>
        </is>
      </c>
      <c r="E8" s="2" t="inlineStr">
        <is>
          <t xml:space="preserve">UNIDAD: UND</t>
        </is>
      </c>
    </row>
    <row r="9">
      <c r="A9" s="15" t="inlineStr">
        <is>
          <t xml:space="preserve">PRECIO SEGÚN ARCHIVO IMPORTADO — SIN APU DE RESPALDO EN EL CATÁLOGO</t>
        </is>
      </c>
      <c r="D9" s="15" t="inlineStr">
        <is>
          <t xml:space="preserve">VR UNITARIO =</t>
        </is>
      </c>
      <c r="E9" s="16">
        <v>301516</v>
      </c>
    </row>
    <row r="10">
      <c r="A10" s="17" t="inlineStr">
        <is>
          <t xml:space="preserve">Referencia del catálogo para este ítem: $183.729 de costo directo. El precio del archivo MANDA; la diferencia queda declarada aquí para poder discutirla.</t>
        </is>
      </c>
    </row>
    <row r="11"/>
    <row r="12">
      <c r="A12" s="2" t="inlineStr">
        <is>
          <t xml:space="preserve">1.3 · Suministro e instalación de canaleta metalica calibre 20-22 con división, pintura electrostática de 15x5 cm, color blanca.</t>
        </is>
      </c>
      <c r="E12" s="2" t="inlineStr">
        <is>
          <t xml:space="preserve">UNIDAD: ML</t>
        </is>
      </c>
    </row>
    <row r="13">
      <c r="A13" s="15" t="inlineStr">
        <is>
          <t xml:space="preserve">PRECIO SEGÚN ARCHIVO IMPORTADO — SIN APU DE RESPALDO EN EL CATÁLOGO</t>
        </is>
      </c>
      <c r="D13" s="15" t="inlineStr">
        <is>
          <t xml:space="preserve">VR UNITARIO =</t>
        </is>
      </c>
      <c r="E13" s="16">
        <v>74596</v>
      </c>
    </row>
    <row r="14">
      <c r="A14" s="17" t="inlineStr">
        <is>
          <t xml:space="preserve">Referencia del catálogo para este ítem: $122.568 de costo directo. El precio del archivo MANDA; la diferencia queda declarada aquí para poder discutirla.</t>
        </is>
      </c>
    </row>
    <row r="15"/>
    <row r="16">
      <c r="A16" s="2" t="inlineStr">
        <is>
          <t xml:space="preserve">1.4 · Suministro e instalación de cable de cobre 3x12 trenzado AWG  LSZH azul</t>
        </is>
      </c>
      <c r="E16" s="2" t="inlineStr">
        <is>
          <t xml:space="preserve">UNIDAD: ML</t>
        </is>
      </c>
    </row>
    <row r="17">
      <c r="A17" s="15" t="inlineStr">
        <is>
          <t xml:space="preserve">PRECIO SEGÚN ARCHIVO IMPORTADO — SIN APU DE RESPALDO EN EL CATÁLOGO</t>
        </is>
      </c>
      <c r="D17" s="15" t="inlineStr">
        <is>
          <t xml:space="preserve">VR UNITARIO =</t>
        </is>
      </c>
      <c r="E17" s="16">
        <v>30172</v>
      </c>
    </row>
    <row r="18">
      <c r="A18" s="17" t="inlineStr">
        <is>
          <t xml:space="preserve">Referencia del catálogo para este ítem: $37.515 de costo directo. El precio del archivo MANDA; la diferencia queda declarada aquí para poder discutirla.</t>
        </is>
      </c>
    </row>
    <row r="19"/>
    <row r="20">
      <c r="A20" s="2" t="inlineStr">
        <is>
          <t xml:space="preserve">1.5 · Suministro e instalación de cable de cobre No 8  AWG  LSZH</t>
        </is>
      </c>
      <c r="E20" s="2" t="inlineStr">
        <is>
          <t xml:space="preserve">UNIDAD: ML</t>
        </is>
      </c>
    </row>
    <row r="21">
      <c r="A21" s="15" t="inlineStr">
        <is>
          <t xml:space="preserve">PRECIO SEGÚN ARCHIVO IMPORTADO — SIN APU DE RESPALDO EN EL CATÁLOGO</t>
        </is>
      </c>
      <c r="D21" s="15" t="inlineStr">
        <is>
          <t xml:space="preserve">VR UNITARIO =</t>
        </is>
      </c>
      <c r="E21" s="16">
        <v>26328</v>
      </c>
    </row>
    <row r="22">
      <c r="A22" s="17" t="inlineStr">
        <is>
          <t xml:space="preserve">Referencia del catálogo para este ítem: $37.515 de costo directo. El precio del archivo MANDA; la diferencia queda declarada aquí para poder discutirla.</t>
        </is>
      </c>
    </row>
    <row r="23"/>
    <row r="24">
      <c r="A24" s="2" t="inlineStr">
        <is>
          <t xml:space="preserve">1.6 · Suministro e instalación de cable de cobre No 12 AWG LSZH</t>
        </is>
      </c>
      <c r="E24" s="2" t="inlineStr">
        <is>
          <t xml:space="preserve">UNIDAD: ML</t>
        </is>
      </c>
    </row>
    <row r="25">
      <c r="A25" s="15" t="inlineStr">
        <is>
          <t xml:space="preserve">PRECIO SEGÚN ARCHIVO IMPORTADO — SIN APU DE RESPALDO EN EL CATÁLOGO</t>
        </is>
      </c>
      <c r="D25" s="15" t="inlineStr">
        <is>
          <t xml:space="preserve">VR UNITARIO =</t>
        </is>
      </c>
      <c r="E25" s="16">
        <v>17552</v>
      </c>
    </row>
    <row r="26">
      <c r="A26" s="17" t="inlineStr">
        <is>
          <t xml:space="preserve">Referencia del catálogo para este ítem: $37.515 de costo directo. El precio del archivo MANDA; la diferencia queda declarada aquí para poder discutirla.</t>
        </is>
      </c>
    </row>
    <row r="27"/>
    <row r="28">
      <c r="A28" s="2" t="inlineStr">
        <is>
          <t xml:space="preserve">1.7 · Suministro e instalación de alambre de cobre desnudo No 14 AWG</t>
        </is>
      </c>
      <c r="E28" s="2" t="inlineStr">
        <is>
          <t xml:space="preserve">UNIDAD: ML</t>
        </is>
      </c>
    </row>
    <row r="29">
      <c r="A29" s="15" t="inlineStr">
        <is>
          <t xml:space="preserve">PRECIO SEGÚN ARCHIVO IMPORTADO — SIN APU DE RESPALDO EN EL CATÁLOGO</t>
        </is>
      </c>
      <c r="D29" s="15" t="inlineStr">
        <is>
          <t xml:space="preserve">VR UNITARIO =</t>
        </is>
      </c>
      <c r="E29" s="16">
        <v>14928</v>
      </c>
    </row>
    <row r="30">
      <c r="A30" s="17" t="inlineStr">
        <is>
          <t xml:space="preserve">Referencia del catálogo para este ítem: $37.515 de costo directo. El precio del archivo MANDA; la diferencia queda declarada aquí para poder discutirla.</t>
        </is>
      </c>
    </row>
    <row r="31"/>
    <row r="32">
      <c r="A32" s="2" t="inlineStr">
        <is>
          <t xml:space="preserve">1.8 · Suministro e instalación de breaker tipo industrial de 3*40 A de 1x20 A.</t>
        </is>
      </c>
      <c r="E32" s="2" t="inlineStr">
        <is>
          <t xml:space="preserve">UNIDAD: UND</t>
        </is>
      </c>
    </row>
    <row r="33">
      <c r="A33" s="15" t="inlineStr">
        <is>
          <t xml:space="preserve">PRECIO SEGÚN ARCHIVO IMPORTADO — SIN APU DE RESPALDO EN EL CATÁLOGO</t>
        </is>
      </c>
      <c r="D33" s="15" t="inlineStr">
        <is>
          <t xml:space="preserve">VR UNITARIO =</t>
        </is>
      </c>
      <c r="E33" s="16">
        <v>81852</v>
      </c>
    </row>
    <row r="34"/>
    <row r="35">
      <c r="A35" s="2" t="inlineStr">
        <is>
          <t xml:space="preserve">1.9 · Suministro e instalación de breaker tipo enchufable de 1x20 A.</t>
        </is>
      </c>
      <c r="E35" s="2" t="inlineStr">
        <is>
          <t xml:space="preserve">UNIDAD: UND</t>
        </is>
      </c>
    </row>
    <row r="36">
      <c r="A36" s="15" t="inlineStr">
        <is>
          <t xml:space="preserve">PRECIO SEGÚN ARCHIVO IMPORTADO — SIN APU DE RESPALDO EN EL CATÁLOGO</t>
        </is>
      </c>
      <c r="D36" s="15" t="inlineStr">
        <is>
          <t xml:space="preserve">VR UNITARIO =</t>
        </is>
      </c>
      <c r="E36" s="16">
        <v>32908</v>
      </c>
    </row>
    <row r="37">
      <c r="A37" s="17" t="inlineStr">
        <is>
          <t xml:space="preserve">Referencia del catálogo para este ítem: $70.851 de costo directo. El precio del archivo MANDA; la diferencia queda declarada aquí para poder discutirla.</t>
        </is>
      </c>
    </row>
    <row r="38"/>
    <row r="39">
      <c r="A39" s="2" t="inlineStr">
        <is>
          <t xml:space="preserve">1.10 · Suministro de tablero metálico trifásico de 18 circuitos  con espacio para totalizador.</t>
        </is>
      </c>
      <c r="E39" s="2" t="inlineStr">
        <is>
          <t xml:space="preserve">UNIDAD: UND</t>
        </is>
      </c>
    </row>
    <row r="40">
      <c r="A40" s="15" t="inlineStr">
        <is>
          <t xml:space="preserve">PRECIO SEGÚN ARCHIVO IMPORTADO — SIN APU DE RESPALDO EN EL CATÁLOGO</t>
        </is>
      </c>
      <c r="D40" s="15" t="inlineStr">
        <is>
          <t xml:space="preserve">VR UNITARIO =</t>
        </is>
      </c>
      <c r="E40" s="16">
        <v>3129564</v>
      </c>
    </row>
    <row r="41"/>
    <row r="42">
      <c r="A42" s="2" t="inlineStr">
        <is>
          <t xml:space="preserve">1.11 · Desconexión, desmonte y retiro tablero existente</t>
        </is>
      </c>
      <c r="E42" s="2" t="inlineStr">
        <is>
          <t xml:space="preserve">UNIDAD: GBL</t>
        </is>
      </c>
    </row>
    <row r="43">
      <c r="A43" s="15" t="inlineStr">
        <is>
          <t xml:space="preserve">PRECIO SEGÚN ARCHIVO IMPORTADO — SIN APU DE RESPALDO EN EL CATÁLOGO</t>
        </is>
      </c>
      <c r="D43" s="15" t="inlineStr">
        <is>
          <t xml:space="preserve">VR UNITARIO =</t>
        </is>
      </c>
      <c r="E43" s="16">
        <v>1529364</v>
      </c>
    </row>
    <row r="44"/>
    <row r="45">
      <c r="A45" s="2" t="inlineStr">
        <is>
          <t xml:space="preserve">1.12 · Marquillaje e identificación</t>
        </is>
      </c>
      <c r="E45" s="2" t="inlineStr">
        <is>
          <t xml:space="preserve">UNIDAD: GBL</t>
        </is>
      </c>
    </row>
    <row r="46">
      <c r="A46" s="15" t="inlineStr">
        <is>
          <t xml:space="preserve">PRECIO SEGÚN ARCHIVO IMPORTADO — SIN APU DE RESPALDO EN EL CATÁLOGO</t>
        </is>
      </c>
      <c r="D46" s="15" t="inlineStr">
        <is>
          <t xml:space="preserve">VR UNITARIO =</t>
        </is>
      </c>
      <c r="E46" s="16">
        <v>2493992</v>
      </c>
    </row>
    <row r="47"/>
    <row r="48">
      <c r="A48" s="2" t="inlineStr">
        <is>
          <t xml:space="preserve">2,1,1 · Suministro e instalación tubo EMT de 1/2", caja octogonal, cable de cobre aislado No 12 AWG LSZH, tomacorriente monofásica, conector tipo resorte o empalme autodesforre, accesorios y elementos de fijación, transporte, alquiler andamio, armado y desarmado y aseo diario.</t>
        </is>
      </c>
      <c r="E48" s="2" t="inlineStr">
        <is>
          <t xml:space="preserve">UNIDAD: UND</t>
        </is>
      </c>
    </row>
    <row r="49">
      <c r="A49" s="15" t="inlineStr">
        <is>
          <t xml:space="preserve">PRECIO SEGÚN ARCHIVO IMPORTADO — SIN APU DE RESPALDO EN EL CATÁLOGO</t>
        </is>
      </c>
      <c r="D49" s="15" t="inlineStr">
        <is>
          <t xml:space="preserve">VR UNITARIO =</t>
        </is>
      </c>
      <c r="E49" s="16">
        <v>312864</v>
      </c>
    </row>
    <row r="50">
      <c r="A50" s="17" t="inlineStr">
        <is>
          <t xml:space="preserve">Referencia del catálogo para este ítem: $183.729 de costo directo. El precio del archivo MANDA; la diferencia queda declarada aquí para poder discutirla.</t>
        </is>
      </c>
    </row>
    <row r="51"/>
    <row r="52">
      <c r="A52" s="2" t="inlineStr">
        <is>
          <t xml:space="preserve">2.2.1 · Suministro e instalación de interruptor sencill, tubo eMT de 1/2", caja metálica tipo radwell, cable de cobre No 12 AWG LSZH, conector tipo resorte o emplame autodesforre, accesorios y elemntos de fijación,</t>
        </is>
      </c>
      <c r="E52" s="2" t="inlineStr">
        <is>
          <t xml:space="preserve">UNIDAD: UND</t>
        </is>
      </c>
    </row>
    <row r="53">
      <c r="A53" s="15" t="inlineStr">
        <is>
          <t xml:space="preserve">PRECIO SEGÚN ARCHIVO IMPORTADO — SIN APU DE RESPALDO EN EL CATÁLOGO</t>
        </is>
      </c>
      <c r="D53" s="15" t="inlineStr">
        <is>
          <t xml:space="preserve">VR UNITARIO =</t>
        </is>
      </c>
      <c r="E53" s="16">
        <v>301516</v>
      </c>
    </row>
    <row r="54">
      <c r="A54" s="17" t="inlineStr">
        <is>
          <t xml:space="preserve">Referencia del catálogo para este ítem: $165.880 de costo directo. El precio del archivo MANDA; la diferencia queda declarada aquí para poder discutirla.</t>
        </is>
      </c>
    </row>
    <row r="55"/>
    <row r="56">
      <c r="A56" s="2" t="inlineStr">
        <is>
          <t xml:space="preserve">2,2,2 · Suministro e instalación de interruptor doble, tubo EMT de 1/2", caja metálica tipo Radwell, cable No 12 AWG LSZH, conector tipo resorte o empalme autodesforre, accesorios y elementos de fijación,  transporte, aseo diario.</t>
        </is>
      </c>
      <c r="E56" s="2" t="inlineStr">
        <is>
          <t xml:space="preserve">UNIDAD: UND</t>
        </is>
      </c>
    </row>
    <row r="57">
      <c r="A57" s="15" t="inlineStr">
        <is>
          <t xml:space="preserve">PRECIO SEGÚN ARCHIVO IMPORTADO — SIN APU DE RESPALDO EN EL CATÁLOGO</t>
        </is>
      </c>
      <c r="D57" s="15" t="inlineStr">
        <is>
          <t xml:space="preserve">VR UNITARIO =</t>
        </is>
      </c>
      <c r="E57" s="16">
        <v>309032</v>
      </c>
    </row>
    <row r="58">
      <c r="A58" s="17" t="inlineStr">
        <is>
          <t xml:space="preserve">Referencia del catálogo para este ítem: $183.729 de costo directo. El precio del archivo MANDA; la diferencia queda declarada aquí para poder discutirla.</t>
        </is>
      </c>
    </row>
    <row r="59"/>
    <row r="60">
      <c r="A60" s="2" t="inlineStr">
        <is>
          <t xml:space="preserve">2,2,2 · Suministro e instalación de interruptor triple, tubo EMT de 1/2", caja metálica tipo Radwell, cable No 12 AWG LSZH, conector tipo resorte o empalme autodesforre, accesorios y elementos de fijación,  transporte, aseo diario.</t>
        </is>
      </c>
      <c r="E60" s="2" t="inlineStr">
        <is>
          <t xml:space="preserve">UNIDAD: UND</t>
        </is>
      </c>
    </row>
    <row r="61">
      <c r="A61" s="15" t="inlineStr">
        <is>
          <t xml:space="preserve">PRECIO SEGÚN ARCHIVO IMPORTADO — SIN APU DE RESPALDO EN EL CATÁLOGO</t>
        </is>
      </c>
      <c r="D61" s="15" t="inlineStr">
        <is>
          <t xml:space="preserve">VR UNITARIO =</t>
        </is>
      </c>
      <c r="E61" s="16">
        <v>320460</v>
      </c>
    </row>
    <row r="62">
      <c r="A62" s="17" t="inlineStr">
        <is>
          <t xml:space="preserve">Referencia del catálogo para este ítem: $183.729 de costo directo. El precio del archivo MANDA; la diferencia queda declarada aquí para poder discutirla.</t>
        </is>
      </c>
    </row>
    <row r="63"/>
    <row r="64">
      <c r="A64" s="2" t="inlineStr">
        <is>
          <t xml:space="preserve">2,3,1 · Luminaria LED 120x30 Cm 40 W Sylvania Ref. P28399-41, marco metálico pintura electrostática color blanco, accesotios, elementos de fijación y trasporte.</t>
        </is>
      </c>
      <c r="E64" s="2" t="inlineStr">
        <is>
          <t xml:space="preserve">UNIDAD: UND</t>
        </is>
      </c>
    </row>
    <row r="65">
      <c r="A65" s="15" t="inlineStr">
        <is>
          <t xml:space="preserve">PRECIO SEGÚN ARCHIVO IMPORTADO — SIN APU DE RESPALDO EN EL CATÁLOGO</t>
        </is>
      </c>
      <c r="D65" s="15" t="inlineStr">
        <is>
          <t xml:space="preserve">VR UNITARIO =</t>
        </is>
      </c>
      <c r="E65" s="16">
        <v>153584</v>
      </c>
    </row>
    <row r="66">
      <c r="A66" s="17" t="inlineStr">
        <is>
          <t xml:space="preserve">Referencia del catálogo para este ítem: $137.445 de costo directo. El precio del archivo MANDA; la diferencia queda declarada aquí para poder discutirla.</t>
        </is>
      </c>
    </row>
    <row r="67"/>
    <row r="68">
      <c r="A68" s="2" t="inlineStr">
        <is>
          <t xml:space="preserve">2,3,3 · Luminaria LED 60x60 Cm 40 W Sylvania Ref. P27916, marco metálico pintura electrostática color blanco, accesotios, elementos de fijación y anclaje, trasporte.</t>
        </is>
      </c>
      <c r="E68" s="2" t="inlineStr">
        <is>
          <t xml:space="preserve">UNIDAD: UND</t>
        </is>
      </c>
    </row>
    <row r="69">
      <c r="A69" s="15" t="inlineStr">
        <is>
          <t xml:space="preserve">PRECIO SEGÚN ARCHIVO IMPORTADO — SIN APU DE RESPALDO EN EL CATÁLOGO</t>
        </is>
      </c>
      <c r="D69" s="15" t="inlineStr">
        <is>
          <t xml:space="preserve">VR UNITARIO =</t>
        </is>
      </c>
      <c r="E69" s="16">
        <v>131640</v>
      </c>
    </row>
    <row r="70">
      <c r="A70" s="17" t="inlineStr">
        <is>
          <t xml:space="preserve">Referencia del catálogo para este ítem: $137.445 de costo directo. El precio del archivo MANDA; la diferencia queda declarada aquí para poder discutirla.</t>
        </is>
      </c>
    </row>
    <row r="71"/>
    <row r="72">
      <c r="A72" s="2" t="inlineStr">
        <is>
          <t xml:space="preserve">1.1 · Suministro e instalación de tomacoriente monofásica normal de 15 A 120 V en canaleta metálica. Incluye: troquel metálico para toma eléctrica, cable cobre AWG LSZH 3x12 trenzado azul, emplame autodesforre, accesorios y elementos de fijación y anclaje,
transporte, marquilla de identificación y aseo diario.</t>
        </is>
      </c>
      <c r="E72" s="2" t="inlineStr">
        <is>
          <t xml:space="preserve">UNIDAD: UND</t>
        </is>
      </c>
    </row>
    <row r="73">
      <c r="A73" s="15" t="inlineStr">
        <is>
          <t xml:space="preserve">PRECIO SEGÚN ARCHIVO IMPORTADO — SIN APU DE RESPALDO EN EL CATÁLOGO</t>
        </is>
      </c>
      <c r="D73" s="15" t="inlineStr">
        <is>
          <t xml:space="preserve">VR UNITARIO =</t>
        </is>
      </c>
      <c r="E73" s="16">
        <v>320488</v>
      </c>
    </row>
    <row r="74">
      <c r="A74" s="17" t="inlineStr">
        <is>
          <t xml:space="preserve">Referencia del catálogo para este ítem: $183.729 de costo directo. El precio del archivo MANDA; la diferencia queda declarada aquí para poder discutirla.</t>
        </is>
      </c>
    </row>
    <row r="75"/>
    <row r="76">
      <c r="A76" s="2" t="inlineStr">
        <is>
          <t xml:space="preserve">1.2 · Suministro e instalación de canaleta metalica calibre 20-22 con división, pintura electrostática de 15x5 cm, color blanca.</t>
        </is>
      </c>
      <c r="E76" s="2" t="inlineStr">
        <is>
          <t xml:space="preserve">UNIDAD: ML</t>
        </is>
      </c>
    </row>
    <row r="77">
      <c r="A77" s="15" t="inlineStr">
        <is>
          <t xml:space="preserve">PRECIO SEGÚN ARCHIVO IMPORTADO — SIN APU DE RESPALDO EN EL CATÁLOGO</t>
        </is>
      </c>
      <c r="D77" s="15" t="inlineStr">
        <is>
          <t xml:space="preserve">VR UNITARIO =</t>
        </is>
      </c>
      <c r="E77" s="16">
        <v>74596</v>
      </c>
    </row>
    <row r="78">
      <c r="A78" s="17" t="inlineStr">
        <is>
          <t xml:space="preserve">Referencia del catálogo para este ítem: $122.568 de costo directo. El precio del archivo MANDA; la diferencia queda declarada aquí para poder discutirla.</t>
        </is>
      </c>
    </row>
    <row r="79"/>
    <row r="80">
      <c r="A80" s="2" t="inlineStr">
        <is>
          <t xml:space="preserve">1.3 · Suministro e instalación de cable de cobre 3x12 trenzado AWG  LSZH azul</t>
        </is>
      </c>
      <c r="E80" s="2" t="inlineStr">
        <is>
          <t xml:space="preserve">UNIDAD: ML</t>
        </is>
      </c>
    </row>
    <row r="81">
      <c r="A81" s="15" t="inlineStr">
        <is>
          <t xml:space="preserve">PRECIO SEGÚN ARCHIVO IMPORTADO — SIN APU DE RESPALDO EN EL CATÁLOGO</t>
        </is>
      </c>
      <c r="D81" s="15" t="inlineStr">
        <is>
          <t xml:space="preserve">VR UNITARIO =</t>
        </is>
      </c>
      <c r="E81" s="16">
        <v>30172</v>
      </c>
    </row>
    <row r="82">
      <c r="A82" s="17" t="inlineStr">
        <is>
          <t xml:space="preserve">Referencia del catálogo para este ítem: $37.515 de costo directo. El precio del archivo MANDA; la diferencia queda declarada aquí para poder discutirla.</t>
        </is>
      </c>
    </row>
    <row r="83"/>
    <row r="84">
      <c r="A84" s="2" t="inlineStr">
        <is>
          <t xml:space="preserve">1.4 · Suministro e instalación de cable de cobre No 12 AWG LSZH</t>
        </is>
      </c>
      <c r="E84" s="2" t="inlineStr">
        <is>
          <t xml:space="preserve">UNIDAD: ML</t>
        </is>
      </c>
    </row>
    <row r="85">
      <c r="A85" s="15" t="inlineStr">
        <is>
          <t xml:space="preserve">PRECIO SEGÚN ARCHIVO IMPORTADO — SIN APU DE RESPALDO EN EL CATÁLOGO</t>
        </is>
      </c>
      <c r="D85" s="15" t="inlineStr">
        <is>
          <t xml:space="preserve">VR UNITARIO =</t>
        </is>
      </c>
      <c r="E85" s="16">
        <v>17552</v>
      </c>
    </row>
    <row r="86">
      <c r="A86" s="17" t="inlineStr">
        <is>
          <t xml:space="preserve">Referencia del catálogo para este ítem: $37.515 de costo directo. El precio del archivo MANDA; la diferencia queda declarada aquí para poder discutirla.</t>
        </is>
      </c>
    </row>
    <row r="87"/>
    <row r="88">
      <c r="A88" s="2" t="inlineStr">
        <is>
          <t xml:space="preserve">1.5 · Suministro e instalación de alambre de cobre desnudo No 14 AWG</t>
        </is>
      </c>
      <c r="E88" s="2" t="inlineStr">
        <is>
          <t xml:space="preserve">UNIDAD: ML</t>
        </is>
      </c>
    </row>
    <row r="89">
      <c r="A89" s="15" t="inlineStr">
        <is>
          <t xml:space="preserve">PRECIO SEGÚN ARCHIVO IMPORTADO — SIN APU DE RESPALDO EN EL CATÁLOGO</t>
        </is>
      </c>
      <c r="D89" s="15" t="inlineStr">
        <is>
          <t xml:space="preserve">VR UNITARIO =</t>
        </is>
      </c>
      <c r="E89" s="16">
        <v>14928</v>
      </c>
    </row>
    <row r="90">
      <c r="A90" s="17" t="inlineStr">
        <is>
          <t xml:space="preserve">Referencia del catálogo para este ítem: $37.515 de costo directo. El precio del archivo MANDA; la diferencia queda declarada aquí para poder discutirla.</t>
        </is>
      </c>
    </row>
    <row r="91"/>
    <row r="92">
      <c r="A92" s="2" t="inlineStr">
        <is>
          <t xml:space="preserve">1.6 · Suministro e instalación de breaker tipo industrial de 3x40 A.</t>
        </is>
      </c>
      <c r="E92" s="2" t="inlineStr">
        <is>
          <t xml:space="preserve">UNIDAD: UND</t>
        </is>
      </c>
    </row>
    <row r="93">
      <c r="A93" s="15" t="inlineStr">
        <is>
          <t xml:space="preserve">PRECIO SEGÚN ARCHIVO IMPORTADO — SIN APU DE RESPALDO EN EL CATÁLOGO</t>
        </is>
      </c>
      <c r="D93" s="15" t="inlineStr">
        <is>
          <t xml:space="preserve">VR UNITARIO =</t>
        </is>
      </c>
      <c r="E93" s="16">
        <v>81852</v>
      </c>
    </row>
    <row r="94">
      <c r="A94" s="17" t="inlineStr">
        <is>
          <t xml:space="preserve">Referencia del catálogo para este ítem: $123.053 de costo directo. El precio del archivo MANDA; la diferencia queda declarada aquí para poder discutirla.</t>
        </is>
      </c>
    </row>
    <row r="95"/>
    <row r="96">
      <c r="A96" s="2" t="inlineStr">
        <is>
          <t xml:space="preserve">1.7 · Suministro e instalación de breaker tipo enchufable de 3x20 A.</t>
        </is>
      </c>
      <c r="E96" s="2" t="inlineStr">
        <is>
          <t xml:space="preserve">UNIDAD: UND</t>
        </is>
      </c>
    </row>
    <row r="97">
      <c r="A97" s="15" t="inlineStr">
        <is>
          <t xml:space="preserve">PRECIO SEGÚN ARCHIVO IMPORTADO — SIN APU DE RESPALDO EN EL CATÁLOGO</t>
        </is>
      </c>
      <c r="D97" s="15" t="inlineStr">
        <is>
          <t xml:space="preserve">VR UNITARIO =</t>
        </is>
      </c>
      <c r="E97" s="16">
        <v>55152</v>
      </c>
    </row>
    <row r="98">
      <c r="A98" s="17" t="inlineStr">
        <is>
          <t xml:space="preserve">Referencia del catálogo para este ítem: $70.851 de costo directo. El precio del archivo MANDA; la diferencia queda declarada aquí para poder discutirla.</t>
        </is>
      </c>
    </row>
    <row r="99"/>
    <row r="100">
      <c r="A100" s="2" t="inlineStr">
        <is>
          <t xml:space="preserve">1.8 · Suministro e instalación de breaker tipo enchufable de 1x20 A.</t>
        </is>
      </c>
      <c r="E100" s="2" t="inlineStr">
        <is>
          <t xml:space="preserve">UNIDAD: UND</t>
        </is>
      </c>
    </row>
    <row r="101">
      <c r="A101" s="15" t="inlineStr">
        <is>
          <t xml:space="preserve">PRECIO SEGÚN ARCHIVO IMPORTADO — SIN APU DE RESPALDO EN EL CATÁLOGO</t>
        </is>
      </c>
      <c r="D101" s="15" t="inlineStr">
        <is>
          <t xml:space="preserve">VR UNITARIO =</t>
        </is>
      </c>
      <c r="E101" s="16">
        <v>41688</v>
      </c>
    </row>
    <row r="102">
      <c r="A102" s="17" t="inlineStr">
        <is>
          <t xml:space="preserve">Referencia del catálogo para este ítem: $70.851 de costo directo. El precio del archivo MANDA; la diferencia queda declarada aquí para poder discutirla.</t>
        </is>
      </c>
    </row>
    <row r="103"/>
    <row r="104">
      <c r="A104" s="2" t="inlineStr">
        <is>
          <t xml:space="preserve">1.9 · Suministro e instalación de breaker tipo riel de 3x40 A.</t>
        </is>
      </c>
      <c r="E104" s="2" t="inlineStr">
        <is>
          <t xml:space="preserve">UNIDAD: UND</t>
        </is>
      </c>
    </row>
    <row r="105">
      <c r="A105" s="15" t="inlineStr">
        <is>
          <t xml:space="preserve">PRECIO SEGÚN ARCHIVO IMPORTADO — SIN APU DE RESPALDO EN EL CATÁLOGO</t>
        </is>
      </c>
      <c r="D105" s="15" t="inlineStr">
        <is>
          <t xml:space="preserve">VR UNITARIO =</t>
        </is>
      </c>
      <c r="E105" s="16">
        <v>81852</v>
      </c>
    </row>
    <row r="106">
      <c r="A106" s="17" t="inlineStr">
        <is>
          <t xml:space="preserve">Referencia del catálogo para este ítem: $123.053 de costo directo. El precio del archivo MANDA; la diferencia queda declarada aquí para poder discutirla.</t>
        </is>
      </c>
    </row>
    <row r="107"/>
    <row r="108">
      <c r="A108" s="2" t="inlineStr">
        <is>
          <t xml:space="preserve">1.10 · Suministro de tablero metálico trifásico de 18 circuitos con espacio para totalizador</t>
        </is>
      </c>
      <c r="E108" s="2" t="inlineStr">
        <is>
          <t xml:space="preserve">UNIDAD: UND</t>
        </is>
      </c>
    </row>
    <row r="109">
      <c r="A109" s="15" t="inlineStr">
        <is>
          <t xml:space="preserve">PRECIO SEGÚN ARCHIVO IMPORTADO — SIN APU DE RESPALDO EN EL CATÁLOGO</t>
        </is>
      </c>
      <c r="D109" s="15" t="inlineStr">
        <is>
          <t xml:space="preserve">VR UNITARIO =</t>
        </is>
      </c>
      <c r="E109" s="16">
        <v>3129564</v>
      </c>
    </row>
    <row r="110"/>
    <row r="111">
      <c r="A111" s="2" t="inlineStr">
        <is>
          <t xml:space="preserve">1.11 · Suministro e instalación de caja de paso metálica de 30*30*20 Cm, elementos de fijación y anclaje.</t>
        </is>
      </c>
      <c r="E111" s="2" t="inlineStr">
        <is>
          <t xml:space="preserve">UNIDAD: UND</t>
        </is>
      </c>
    </row>
    <row r="112">
      <c r="A112" s="15" t="inlineStr">
        <is>
          <t xml:space="preserve">PRECIO SEGÚN ARCHIVO IMPORTADO — SIN APU DE RESPALDO EN EL CATÁLOGO</t>
        </is>
      </c>
      <c r="D112" s="15" t="inlineStr">
        <is>
          <t xml:space="preserve">VR UNITARIO =</t>
        </is>
      </c>
      <c r="E112" s="16">
        <v>88536</v>
      </c>
    </row>
    <row r="113"/>
    <row r="114">
      <c r="A114" s="2" t="inlineStr">
        <is>
          <t xml:space="preserve">1.12 · Reemplazo tubería sobrepuesta PVC existente de 2" en costado occidental por tubería EMT de 2", incluye unionesy terminales en EMT 2"</t>
        </is>
      </c>
      <c r="E114" s="2" t="inlineStr">
        <is>
          <t xml:space="preserve">UNIDAD: ML</t>
        </is>
      </c>
    </row>
    <row r="115">
      <c r="A115" s="15" t="inlineStr">
        <is>
          <t xml:space="preserve">PRECIO SEGÚN ARCHIVO IMPORTADO — SIN APU DE RESPALDO EN EL CATÁLOGO</t>
        </is>
      </c>
      <c r="D115" s="15" t="inlineStr">
        <is>
          <t xml:space="preserve">VR UNITARIO =</t>
        </is>
      </c>
      <c r="E115" s="16">
        <v>133824</v>
      </c>
    </row>
    <row r="116"/>
    <row r="117">
      <c r="A117" s="2" t="inlineStr">
        <is>
          <t xml:space="preserve">1.13 · Instalación tubería sobrepuesta de 1 1/2" entre caja de paso existente y caja de paso nueva, incluye uniones y terminales en EMT 1 1/2"</t>
        </is>
      </c>
      <c r="E117" s="2" t="inlineStr">
        <is>
          <t xml:space="preserve">UNIDAD: ML</t>
        </is>
      </c>
    </row>
    <row r="118">
      <c r="A118" s="15" t="inlineStr">
        <is>
          <t xml:space="preserve">PRECIO SEGÚN ARCHIVO IMPORTADO — SIN APU DE RESPALDO EN EL CATÁLOGO</t>
        </is>
      </c>
      <c r="D118" s="15" t="inlineStr">
        <is>
          <t xml:space="preserve">VR UNITARIO =</t>
        </is>
      </c>
      <c r="E118" s="16">
        <v>114616</v>
      </c>
    </row>
    <row r="119">
      <c r="A119" s="17" t="inlineStr">
        <is>
          <t xml:space="preserve">Referencia del catálogo para este ítem: $53.199 de costo directo. El precio del archivo MANDA; la diferencia queda declarada aquí para poder discutirla.</t>
        </is>
      </c>
    </row>
    <row r="120"/>
    <row r="121">
      <c r="A121" s="2" t="inlineStr">
        <is>
          <t xml:space="preserve">1.14 · Regata en muro tubería de 1 1/2"</t>
        </is>
      </c>
      <c r="E121" s="2" t="inlineStr">
        <is>
          <t xml:space="preserve">UNIDAD: ML</t>
        </is>
      </c>
    </row>
    <row r="122">
      <c r="A122" s="15" t="inlineStr">
        <is>
          <t xml:space="preserve">PRECIO SEGÚN ARCHIVO IMPORTADO — SIN APU DE RESPALDO EN EL CATÁLOGO</t>
        </is>
      </c>
      <c r="D122" s="15" t="inlineStr">
        <is>
          <t xml:space="preserve">VR UNITARIO =</t>
        </is>
      </c>
      <c r="E122" s="16">
        <v>52956</v>
      </c>
    </row>
    <row r="123">
      <c r="A123" s="17" t="inlineStr">
        <is>
          <t xml:space="preserve">Referencia del catálogo para este ítem: $77.939 de costo directo. El precio del archivo MANDA; la diferencia queda declarada aquí para poder discutirla.</t>
        </is>
      </c>
    </row>
    <row r="124"/>
    <row r="125">
      <c r="A125" s="2" t="inlineStr">
        <is>
          <t xml:space="preserve">1.15 · Regata en piso tubería de 1 1/2"</t>
        </is>
      </c>
      <c r="E125" s="2" t="inlineStr">
        <is>
          <t xml:space="preserve">UNIDAD: ML</t>
        </is>
      </c>
    </row>
    <row r="126">
      <c r="A126" s="15" t="inlineStr">
        <is>
          <t xml:space="preserve">PRECIO SEGÚN ARCHIVO IMPORTADO — SIN APU DE RESPALDO EN EL CATÁLOGO</t>
        </is>
      </c>
      <c r="D126" s="15" t="inlineStr">
        <is>
          <t xml:space="preserve">VR UNITARIO =</t>
        </is>
      </c>
      <c r="E126" s="16">
        <v>57040</v>
      </c>
    </row>
    <row r="127">
      <c r="A127" s="17" t="inlineStr">
        <is>
          <t xml:space="preserve">Referencia del catálogo para este ítem: $77.939 de costo directo. El precio del archivo MANDA; la diferencia queda declarada aquí para poder discutirla.</t>
        </is>
      </c>
    </row>
    <row r="128"/>
    <row r="129">
      <c r="A129" s="2" t="inlineStr">
        <is>
          <t xml:space="preserve">1.16 · Acometida entre Tablero principal y Tablero Eléctrico Sala de Música en cable de cobre No 6 AWG LSZH. 3 fases y neutro</t>
        </is>
      </c>
      <c r="E129" s="2" t="inlineStr">
        <is>
          <t xml:space="preserve">UNIDAD: ML</t>
        </is>
      </c>
    </row>
    <row r="130">
      <c r="A130" s="15" t="inlineStr">
        <is>
          <t xml:space="preserve">PRECIO SEGÚN ARCHIVO IMPORTADO — SIN APU DE RESPALDO EN EL CATÁLOGO</t>
        </is>
      </c>
      <c r="D130" s="15" t="inlineStr">
        <is>
          <t xml:space="preserve">VR UNITARIO =</t>
        </is>
      </c>
      <c r="E130" s="16">
        <v>47044</v>
      </c>
    </row>
    <row r="131">
      <c r="A131" s="17" t="inlineStr">
        <is>
          <t xml:space="preserve">Referencia del catálogo para este ítem: $40.180 de costo directo. El precio del archivo MANDA; la diferencia queda declarada aquí para poder discutirla.</t>
        </is>
      </c>
    </row>
    <row r="132"/>
    <row r="133">
      <c r="A133" s="2" t="inlineStr">
        <is>
          <t xml:space="preserve">1.17 · Acometida entre Tablero principal y Tablero Eléctrico Sala de Música en cable de cobre No 10 AWG LSZH. Tierra</t>
        </is>
      </c>
      <c r="E133" s="2" t="inlineStr">
        <is>
          <t xml:space="preserve">UNIDAD: ML</t>
        </is>
      </c>
    </row>
    <row r="134">
      <c r="A134" s="15" t="inlineStr">
        <is>
          <t xml:space="preserve">PRECIO SEGÚN ARCHIVO IMPORTADO — SIN APU DE RESPALDO EN EL CATÁLOGO</t>
        </is>
      </c>
      <c r="D134" s="15" t="inlineStr">
        <is>
          <t xml:space="preserve">VR UNITARIO =</t>
        </is>
      </c>
      <c r="E134" s="16">
        <v>36656</v>
      </c>
    </row>
    <row r="135">
      <c r="A135" s="17" t="inlineStr">
        <is>
          <t xml:space="preserve">Referencia del catálogo para este ítem: $122.568 de costo directo. El precio del archivo MANDA; la diferencia queda declarada aquí para poder discutirla.</t>
        </is>
      </c>
    </row>
    <row r="136"/>
    <row r="137">
      <c r="A137" s="2" t="inlineStr">
        <is>
          <t xml:space="preserve">1.18 · Desalambrado y realambrado de acometida existente por cambio de tubería.</t>
        </is>
      </c>
      <c r="E137" s="2" t="inlineStr">
        <is>
          <t xml:space="preserve">UNIDAD: GBL</t>
        </is>
      </c>
    </row>
    <row r="138">
      <c r="A138" s="15" t="inlineStr">
        <is>
          <t xml:space="preserve">PRECIO SEGÚN ARCHIVO IMPORTADO — SIN APU DE RESPALDO EN EL CATÁLOGO</t>
        </is>
      </c>
      <c r="D138" s="15" t="inlineStr">
        <is>
          <t xml:space="preserve">VR UNITARIO =</t>
        </is>
      </c>
      <c r="E138" s="16">
        <v>2712980</v>
      </c>
    </row>
    <row r="139"/>
    <row r="140">
      <c r="A140" s="2" t="inlineStr">
        <is>
          <t xml:space="preserve">2,1,1 · Suministro e instalación tubo EMT de 1/2", caja octogonal, cable de cobre aislado No 12 AWG LSZH, tomacorriente monofásica, conector tipo resorte o empalme autodesforre, accesorios y elementos de fijación, transporte, alquiler andamio, armado y desarmado y aseo diario.</t>
        </is>
      </c>
      <c r="E140" s="2" t="inlineStr">
        <is>
          <t xml:space="preserve">UNIDAD: UND</t>
        </is>
      </c>
    </row>
    <row r="141">
      <c r="A141" s="15" t="inlineStr">
        <is>
          <t xml:space="preserve">PRECIO SEGÚN ARCHIVO IMPORTADO — SIN APU DE RESPALDO EN EL CATÁLOGO</t>
        </is>
      </c>
      <c r="D141" s="15" t="inlineStr">
        <is>
          <t xml:space="preserve">VR UNITARIO =</t>
        </is>
      </c>
      <c r="E141" s="16">
        <v>312864</v>
      </c>
    </row>
    <row r="142">
      <c r="A142" s="17" t="inlineStr">
        <is>
          <t xml:space="preserve">Referencia del catálogo para este ítem: $183.729 de costo directo. El precio del archivo MANDA; la diferencia queda declarada aquí para poder discutirla.</t>
        </is>
      </c>
    </row>
    <row r="143"/>
    <row r="144">
      <c r="A144" s="2" t="inlineStr">
        <is>
          <t xml:space="preserve">2,2,2 · Suministro e instalación de interruptor triple, tubo EMT de 3/4", caja metálica tipo Radwell, cable No 12 aWG LSZH, conector tipo resorte o empalme autodesforre, transporte, aseo diario.</t>
        </is>
      </c>
      <c r="E144" s="2" t="inlineStr">
        <is>
          <t xml:space="preserve">UNIDAD: UND</t>
        </is>
      </c>
    </row>
    <row r="145">
      <c r="A145" s="15" t="inlineStr">
        <is>
          <t xml:space="preserve">PRECIO SEGÚN ARCHIVO IMPORTADO — SIN APU DE RESPALDO EN EL CATÁLOGO</t>
        </is>
      </c>
      <c r="D145" s="15" t="inlineStr">
        <is>
          <t xml:space="preserve">VR UNITARIO =</t>
        </is>
      </c>
      <c r="E145" s="16">
        <v>320460</v>
      </c>
    </row>
    <row r="146">
      <c r="A146" s="17" t="inlineStr">
        <is>
          <t xml:space="preserve">Referencia del catálogo para este ítem: $183.729 de costo directo. El precio del archivo MANDA; la diferencia queda declarada aquí para poder discutirla.</t>
        </is>
      </c>
    </row>
    <row r="147"/>
    <row r="148">
      <c r="A148" s="2" t="inlineStr">
        <is>
          <t xml:space="preserve">2,3,1 · PENDIENTE-POSIBLE USO DE RIEL Y LUMINARIA SYLVANIA</t>
        </is>
      </c>
      <c r="E148" s="2" t="inlineStr">
        <is>
          <t xml:space="preserve">UNIDAD: UND</t>
        </is>
      </c>
    </row>
    <row r="149">
      <c r="A149" s="19" t="inlineStr">
        <is>
          <t xml:space="preserve">⛔ SIN PRECIO — «PENDIENTE-POSIBLE USO DE RIEL Y LUMINARIA SYLVANIA» no casa con ningún ítem del catálogo y no trae precio: escriba su precio unitario o asígnele un ítem. Sin precio NO suma al total — un 0 sería un precio inventado.</t>
        </is>
      </c>
    </row>
    <row r="150"/>
    <row r="151">
      <c r="A151" s="2" t="inlineStr">
        <is>
          <t xml:space="preserve">1.1 · Suministro e instalación de tomacoriente monofásica de 15 A 120 V, en muro, tubo PVC 1", tubo PVC 1/2", caja metálica Ref. 5800,  cable cobre AWG LSZH 3x12 trenzado azul, emplame autodesforre, accesorios y elementos de fijación y anclaje, transporte,  marquilla de identificación y aseo diario.</t>
        </is>
      </c>
      <c r="E151" s="2" t="inlineStr">
        <is>
          <t xml:space="preserve">UNIDAD: UND</t>
        </is>
      </c>
    </row>
    <row r="152">
      <c r="A152" s="15" t="inlineStr">
        <is>
          <t xml:space="preserve">PRECIO SEGÚN ARCHIVO IMPORTADO — SIN APU DE RESPALDO EN EL CATÁLOGO</t>
        </is>
      </c>
      <c r="D152" s="15" t="inlineStr">
        <is>
          <t xml:space="preserve">VR UNITARIO =</t>
        </is>
      </c>
      <c r="E152" s="16">
        <v>613836</v>
      </c>
    </row>
    <row r="153">
      <c r="A153" s="17" t="inlineStr">
        <is>
          <t xml:space="preserve">Referencia del catálogo para este ítem: $183.729 de costo directo. El precio del archivo MANDA; la diferencia queda declarada aquí para poder discutirla.</t>
        </is>
      </c>
    </row>
    <row r="154"/>
    <row r="155">
      <c r="A155" s="2" t="inlineStr">
        <is>
          <t xml:space="preserve">2,1,1 · Suministro e instalación tubo EMT de 1/2", caja octogonal, cable de cobre aislado No 12 AWG LSZH, tomacorriente monofásica, conector tipo resorte o empalme autodesforre, accesorios y elementos de fijación, transporte, alquiler andamio, armado y desarmado y aseo diario.</t>
        </is>
      </c>
      <c r="E155" s="2" t="inlineStr">
        <is>
          <t xml:space="preserve">UNIDAD: UND</t>
        </is>
      </c>
    </row>
    <row r="156">
      <c r="A156" s="15" t="inlineStr">
        <is>
          <t xml:space="preserve">PRECIO SEGÚN ARCHIVO IMPORTADO — SIN APU DE RESPALDO EN EL CATÁLOGO</t>
        </is>
      </c>
      <c r="D156" s="15" t="inlineStr">
        <is>
          <t xml:space="preserve">VR UNITARIO =</t>
        </is>
      </c>
      <c r="E156" s="16">
        <v>312864</v>
      </c>
    </row>
    <row r="157">
      <c r="A157" s="17" t="inlineStr">
        <is>
          <t xml:space="preserve">Referencia del catálogo para este ítem: $183.729 de costo directo. El precio del archivo MANDA; la diferencia queda declarada aquí para poder discutirla.</t>
        </is>
      </c>
    </row>
    <row r="158"/>
    <row r="159">
      <c r="A159" s="2" t="inlineStr">
        <is>
          <t xml:space="preserve">2.2.1 · Suministro e instalación de interruptor sencill, tubo eMT de 1/2", caja metálica tipo radwell, cable de cobre No 12 AWG LSZH, conector tipo resorte o emplame autodesforre, accesorios y elemntos de fijación,</t>
        </is>
      </c>
      <c r="E159" s="2" t="inlineStr">
        <is>
          <t xml:space="preserve">UNIDAD: UND</t>
        </is>
      </c>
    </row>
    <row r="160">
      <c r="A160" s="15" t="inlineStr">
        <is>
          <t xml:space="preserve">PRECIO SEGÚN ARCHIVO IMPORTADO — SIN APU DE RESPALDO EN EL CATÁLOGO</t>
        </is>
      </c>
      <c r="D160" s="15" t="inlineStr">
        <is>
          <t xml:space="preserve">VR UNITARIO =</t>
        </is>
      </c>
      <c r="E160" s="16">
        <v>301516</v>
      </c>
    </row>
    <row r="161">
      <c r="A161" s="17" t="inlineStr">
        <is>
          <t xml:space="preserve">Referencia del catálogo para este ítem: $165.880 de costo directo. El precio del archivo MANDA; la diferencia queda declarada aquí para poder discutirla.</t>
        </is>
      </c>
    </row>
    <row r="162"/>
    <row r="163">
      <c r="A163" s="2" t="inlineStr">
        <is>
          <t xml:space="preserve">2,3,3 · Luminaria LED 60x60 Cm 40 W Sylvania Ref. P27916, marco metálico pintura electrostática color blanco, accesotios, elementos de fijación y trasporte.</t>
        </is>
      </c>
      <c r="E163" s="2" t="inlineStr">
        <is>
          <t xml:space="preserve">UNIDAD: UND</t>
        </is>
      </c>
    </row>
    <row r="164">
      <c r="A164" s="15" t="inlineStr">
        <is>
          <t xml:space="preserve">PRECIO SEGÚN ARCHIVO IMPORTADO — SIN APU DE RESPALDO EN EL CATÁLOGO</t>
        </is>
      </c>
      <c r="D164" s="15" t="inlineStr">
        <is>
          <t xml:space="preserve">VR UNITARIO =</t>
        </is>
      </c>
      <c r="E164" s="16">
        <v>131640</v>
      </c>
    </row>
    <row r="165">
      <c r="A165" s="17" t="inlineStr">
        <is>
          <t xml:space="preserve">Referencia del catálogo para este ítem: $137.445 de costo directo. El precio del archivo MANDA; la diferencia queda declarada aquí para poder discutirla.</t>
        </is>
      </c>
    </row>
    <row r="166"/>
    <row r="167">
      <c r="A167" s="2" t="inlineStr">
        <is>
          <t xml:space="preserve">1.1 · Suministro e instalación de tomacoriente monofásica normal de 15 A 120 V en canaleta metálica. Incluye: troquel metálico para toma eléctrica, cable cobre AWG LSZH 3x12 trenzado azul, emplame autodesforre, accesorios y elementos de fijación y anclaje,
transporte, marquilla de identificación y aseo diario.</t>
        </is>
      </c>
      <c r="E167" s="2" t="inlineStr">
        <is>
          <t xml:space="preserve">UNIDAD: UND</t>
        </is>
      </c>
    </row>
    <row r="168">
      <c r="A168" s="15" t="inlineStr">
        <is>
          <t xml:space="preserve">PRECIO SEGÚN ARCHIVO IMPORTADO — SIN APU DE RESPALDO EN EL CATÁLOGO</t>
        </is>
      </c>
      <c r="D168" s="15" t="inlineStr">
        <is>
          <t xml:space="preserve">VR UNITARIO =</t>
        </is>
      </c>
      <c r="E168" s="16">
        <v>320488</v>
      </c>
    </row>
    <row r="169">
      <c r="A169" s="17" t="inlineStr">
        <is>
          <t xml:space="preserve">Referencia del catálogo para este ítem: $183.729 de costo directo. El precio del archivo MANDA; la diferencia queda declarada aquí para poder discutirla.</t>
        </is>
      </c>
    </row>
    <row r="170"/>
    <row r="171">
      <c r="A171" s="2" t="inlineStr">
        <is>
          <t xml:space="preserve">1.2 · Suministro e instalación de canaleta metalica calibre 20-22 con división, pintura electrostática de 15x5 cm, color blanca.</t>
        </is>
      </c>
      <c r="E171" s="2" t="inlineStr">
        <is>
          <t xml:space="preserve">UNIDAD: ML</t>
        </is>
      </c>
    </row>
    <row r="172">
      <c r="A172" s="15" t="inlineStr">
        <is>
          <t xml:space="preserve">PRECIO SEGÚN ARCHIVO IMPORTADO — SIN APU DE RESPALDO EN EL CATÁLOGO</t>
        </is>
      </c>
      <c r="D172" s="15" t="inlineStr">
        <is>
          <t xml:space="preserve">VR UNITARIO =</t>
        </is>
      </c>
      <c r="E172" s="16">
        <v>74596</v>
      </c>
    </row>
    <row r="173">
      <c r="A173" s="17" t="inlineStr">
        <is>
          <t xml:space="preserve">Referencia del catálogo para este ítem: $122.568 de costo directo. El precio del archivo MANDA; la diferencia queda declarada aquí para poder discutirla.</t>
        </is>
      </c>
    </row>
    <row r="174"/>
    <row r="175">
      <c r="A175" s="2" t="inlineStr">
        <is>
          <t xml:space="preserve">1.3 · Suministro e instalación de cable de cobre 3x12 trenzado AWG  LSZH azul</t>
        </is>
      </c>
      <c r="E175" s="2" t="inlineStr">
        <is>
          <t xml:space="preserve">UNIDAD: ML</t>
        </is>
      </c>
    </row>
    <row r="176">
      <c r="A176" s="15" t="inlineStr">
        <is>
          <t xml:space="preserve">PRECIO SEGÚN ARCHIVO IMPORTADO — SIN APU DE RESPALDO EN EL CATÁLOGO</t>
        </is>
      </c>
      <c r="D176" s="15" t="inlineStr">
        <is>
          <t xml:space="preserve">VR UNITARIO =</t>
        </is>
      </c>
      <c r="E176" s="16">
        <v>30172</v>
      </c>
    </row>
    <row r="177">
      <c r="A177" s="17" t="inlineStr">
        <is>
          <t xml:space="preserve">Referencia del catálogo para este ítem: $37.515 de costo directo. El precio del archivo MANDA; la diferencia queda declarada aquí para poder discutirla.</t>
        </is>
      </c>
    </row>
    <row r="178"/>
    <row r="179">
      <c r="A179" s="2" t="inlineStr">
        <is>
          <t xml:space="preserve">1.4 · Suministro e instalación de cable de cobre No 12 AWG LSZH</t>
        </is>
      </c>
      <c r="E179" s="2" t="inlineStr">
        <is>
          <t xml:space="preserve">UNIDAD: ML</t>
        </is>
      </c>
    </row>
    <row r="180">
      <c r="A180" s="15" t="inlineStr">
        <is>
          <t xml:space="preserve">PRECIO SEGÚN ARCHIVO IMPORTADO — SIN APU DE RESPALDO EN EL CATÁLOGO</t>
        </is>
      </c>
      <c r="D180" s="15" t="inlineStr">
        <is>
          <t xml:space="preserve">VR UNITARIO =</t>
        </is>
      </c>
      <c r="E180" s="16">
        <v>17552</v>
      </c>
    </row>
    <row r="181">
      <c r="A181" s="17" t="inlineStr">
        <is>
          <t xml:space="preserve">Referencia del catálogo para este ítem: $37.515 de costo directo. El precio del archivo MANDA; la diferencia queda declarada aquí para poder discutirla.</t>
        </is>
      </c>
    </row>
    <row r="182"/>
    <row r="183">
      <c r="A183" s="2" t="inlineStr">
        <is>
          <t xml:space="preserve">1.5 · Suministro e instalación de alambre de cobre desnudo No 14 AWG</t>
        </is>
      </c>
      <c r="E183" s="2" t="inlineStr">
        <is>
          <t xml:space="preserve">UNIDAD: ML</t>
        </is>
      </c>
    </row>
    <row r="184">
      <c r="A184" s="15" t="inlineStr">
        <is>
          <t xml:space="preserve">PRECIO SEGÚN ARCHIVO IMPORTADO — SIN APU DE RESPALDO EN EL CATÁLOGO</t>
        </is>
      </c>
      <c r="D184" s="15" t="inlineStr">
        <is>
          <t xml:space="preserve">VR UNITARIO =</t>
        </is>
      </c>
      <c r="E184" s="16">
        <v>14928</v>
      </c>
    </row>
    <row r="185">
      <c r="A185" s="17" t="inlineStr">
        <is>
          <t xml:space="preserve">Referencia del catálogo para este ítem: $37.515 de costo directo. El precio del archivo MANDA; la diferencia queda declarada aquí para poder discutirla.</t>
        </is>
      </c>
    </row>
    <row r="186"/>
    <row r="187">
      <c r="A187" s="2" t="inlineStr">
        <is>
          <t xml:space="preserve">1.6 · Suministro e instalación de breaker tipo enchufable de 1x20 A.</t>
        </is>
      </c>
      <c r="E187" s="2" t="inlineStr">
        <is>
          <t xml:space="preserve">UNIDAD: UND</t>
        </is>
      </c>
    </row>
    <row r="188">
      <c r="A188" s="15" t="inlineStr">
        <is>
          <t xml:space="preserve">PRECIO SEGÚN ARCHIVO IMPORTADO — SIN APU DE RESPALDO EN EL CATÁLOGO</t>
        </is>
      </c>
      <c r="D188" s="15" t="inlineStr">
        <is>
          <t xml:space="preserve">VR UNITARIO =</t>
        </is>
      </c>
      <c r="E188" s="16">
        <v>41688</v>
      </c>
    </row>
    <row r="189">
      <c r="A189" s="17" t="inlineStr">
        <is>
          <t xml:space="preserve">Referencia del catálogo para este ítem: $70.851 de costo directo. El precio del archivo MANDA; la diferencia queda declarada aquí para poder discutirla.</t>
        </is>
      </c>
    </row>
    <row r="190"/>
    <row r="191">
      <c r="A191" s="2" t="inlineStr">
        <is>
          <t xml:space="preserve">1.7 · Desconexión, deslambrado  de acometida existente para cambio tablero existente.</t>
        </is>
      </c>
      <c r="E191" s="2" t="inlineStr">
        <is>
          <t xml:space="preserve">UNIDAD: GBL</t>
        </is>
      </c>
    </row>
    <row r="192">
      <c r="A192" s="15" t="inlineStr">
        <is>
          <t xml:space="preserve">PRECIO SEGÚN ARCHIVO IMPORTADO — SIN APU DE RESPALDO EN EL CATÁLOGO</t>
        </is>
      </c>
      <c r="D192" s="15" t="inlineStr">
        <is>
          <t xml:space="preserve">VR UNITARIO =</t>
        </is>
      </c>
      <c r="E192" s="16">
        <v>1929244</v>
      </c>
    </row>
    <row r="193">
      <c r="A193" s="17" t="inlineStr">
        <is>
          <t xml:space="preserve">Referencia del catálogo para este ítem: $2.302.607 de costo directo. El precio del archivo MANDA; la diferencia queda declarada aquí para poder discutirla.</t>
        </is>
      </c>
    </row>
    <row r="194"/>
    <row r="195">
      <c r="A195" s="2" t="inlineStr">
        <is>
          <t xml:space="preserve">1.8 · Alambrado, traslado y reconexión de red eléctrica existente a nuevo tablero eléctrico.</t>
        </is>
      </c>
      <c r="E195" s="2" t="inlineStr">
        <is>
          <t xml:space="preserve">UNIDAD: GBL</t>
        </is>
      </c>
    </row>
    <row r="196">
      <c r="A196" s="15" t="inlineStr">
        <is>
          <t xml:space="preserve">PRECIO SEGÚN ARCHIVO IMPORTADO — SIN APU DE RESPALDO EN EL CATÁLOGO</t>
        </is>
      </c>
      <c r="D196" s="15" t="inlineStr">
        <is>
          <t xml:space="preserve">VR UNITARIO =</t>
        </is>
      </c>
      <c r="E196" s="16">
        <v>3259128</v>
      </c>
    </row>
    <row r="197"/>
    <row r="198">
      <c r="A198" s="2" t="inlineStr">
        <is>
          <t xml:space="preserve">2,1,1 · Suministro e instalación tubo EMT de 1/2", caja octogonal, cable de cobre aislado No 12 AWG LSZH, tomacorriente monofásica, conector tipo resorte o empalme autodesforre, accesorios y elementos de fijación, transporte, alquiler andamio, armado y desarmado y aseo diario.</t>
        </is>
      </c>
      <c r="E198" s="2" t="inlineStr">
        <is>
          <t xml:space="preserve">UNIDAD: UND</t>
        </is>
      </c>
    </row>
    <row r="199">
      <c r="A199" s="15" t="inlineStr">
        <is>
          <t xml:space="preserve">PRECIO SEGÚN ARCHIVO IMPORTADO — SIN APU DE RESPALDO EN EL CATÁLOGO</t>
        </is>
      </c>
      <c r="D199" s="15" t="inlineStr">
        <is>
          <t xml:space="preserve">VR UNITARIO =</t>
        </is>
      </c>
      <c r="E199" s="16">
        <v>312864</v>
      </c>
    </row>
    <row r="200">
      <c r="A200" s="17" t="inlineStr">
        <is>
          <t xml:space="preserve">Referencia del catálogo para este ítem: $183.729 de costo directo. El precio del archivo MANDA; la diferencia queda declarada aquí para poder discutirla.</t>
        </is>
      </c>
    </row>
    <row r="201"/>
    <row r="202">
      <c r="A202" s="2" t="inlineStr">
        <is>
          <t xml:space="preserve">2,2,2 · Suministro e instalación de interruptor triple, tubo EMT de 3/4", caja metálica tipo Radwell, cable No 12 aWG LSZH, conector tipo resorte o empalme autodesforre, transporte, aseo diario.</t>
        </is>
      </c>
      <c r="E202" s="2" t="inlineStr">
        <is>
          <t xml:space="preserve">UNIDAD: UND</t>
        </is>
      </c>
    </row>
    <row r="203">
      <c r="A203" s="15" t="inlineStr">
        <is>
          <t xml:space="preserve">PRECIO SEGÚN ARCHIVO IMPORTADO — SIN APU DE RESPALDO EN EL CATÁLOGO</t>
        </is>
      </c>
      <c r="D203" s="15" t="inlineStr">
        <is>
          <t xml:space="preserve">VR UNITARIO =</t>
        </is>
      </c>
      <c r="E203" s="16">
        <v>320460</v>
      </c>
    </row>
    <row r="204">
      <c r="A204" s="17" t="inlineStr">
        <is>
          <t xml:space="preserve">Referencia del catálogo para este ítem: $183.729 de costo directo. El precio del archivo MANDA; la diferencia queda declarada aquí para poder discutirla.</t>
        </is>
      </c>
    </row>
    <row r="205"/>
    <row r="206">
      <c r="A206" s="2" t="inlineStr">
        <is>
          <t xml:space="preserve">2,3,1 · Luminaria panel LED 120*30 Cm Sylvania Ref. P27916-41</t>
        </is>
      </c>
      <c r="E206" s="2" t="inlineStr">
        <is>
          <t xml:space="preserve">UNIDAD: UND</t>
        </is>
      </c>
    </row>
    <row r="207">
      <c r="A207" s="15" t="inlineStr">
        <is>
          <t xml:space="preserve">PRECIO SEGÚN ARCHIVO IMPORTADO — SIN APU DE RESPALDO EN EL CATÁLOGO</t>
        </is>
      </c>
      <c r="D207" s="15" t="inlineStr">
        <is>
          <t xml:space="preserve">VR UNITARIO =</t>
        </is>
      </c>
      <c r="E207" s="16">
        <v>153584</v>
      </c>
    </row>
    <row r="208">
      <c r="A208" s="17" t="inlineStr">
        <is>
          <t xml:space="preserve">Referencia del catálogo para este ítem: $137.445 de costo directo. El precio del archivo MANDA; la diferencia queda declarada aquí para poder discutirla.</t>
        </is>
      </c>
    </row>
    <row r="209"/>
    <row r="210"/>
    <row r="211">
      <c r="A211" s="2" t="inlineStr">
        <is>
          <t xml:space="preserve">Analizó y elaboró los APU:</t>
        </is>
      </c>
      <c r="D211" s="2" t="inlineStr">
        <is>
          <t xml:space="preserve">Firma:</t>
        </is>
      </c>
    </row>
    <row r="212">
      <c r="A212" s="2" t="inlineStr">
        <is>
          <t xml:space="preserve">Nombre / Matrícula profesional:</t>
        </is>
      </c>
      <c r="D212" s="6" t="inlineStr">
        <is>
          <t xml:space="preserve"> </t>
        </is>
      </c>
    </row>
    <row r="213">
      <c r="A213" s="17" t="inlineStr">
        <is>
          <t xml:space="preserve">Los factores de cada línea (cantidad base, desperdicio, rendimiento, distancia y recargo prestacional) van en las columnas F y G para que el análisis se pueda auditar sin leer la descripción.</t>
        </is>
      </c>
    </row>
  </sheetData>
  <mergeCells count="159">
    <mergeCell ref="A1:G1"/>
    <mergeCell ref="A2:G2"/>
    <mergeCell ref="A4:D4"/>
    <mergeCell ref="A5:C5"/>
    <mergeCell ref="A6:G6"/>
    <mergeCell ref="A8:D8"/>
    <mergeCell ref="A9:C9"/>
    <mergeCell ref="A10:G10"/>
    <mergeCell ref="A12:D12"/>
    <mergeCell ref="A13:C13"/>
    <mergeCell ref="A14:G14"/>
    <mergeCell ref="A16:D16"/>
    <mergeCell ref="A17:C17"/>
    <mergeCell ref="A18:G18"/>
    <mergeCell ref="A20:D20"/>
    <mergeCell ref="A21:C21"/>
    <mergeCell ref="A22:G22"/>
    <mergeCell ref="A24:D24"/>
    <mergeCell ref="A25:C25"/>
    <mergeCell ref="A26:G26"/>
    <mergeCell ref="A28:D28"/>
    <mergeCell ref="A29:C29"/>
    <mergeCell ref="A30:G30"/>
    <mergeCell ref="A32:D32"/>
    <mergeCell ref="A33:C33"/>
    <mergeCell ref="A35:D35"/>
    <mergeCell ref="A36:C36"/>
    <mergeCell ref="A37:G37"/>
    <mergeCell ref="A39:D39"/>
    <mergeCell ref="A40:C40"/>
    <mergeCell ref="A42:D42"/>
    <mergeCell ref="A43:C43"/>
    <mergeCell ref="A45:D45"/>
    <mergeCell ref="A46:C46"/>
    <mergeCell ref="A48:D48"/>
    <mergeCell ref="A49:C49"/>
    <mergeCell ref="A50:G50"/>
    <mergeCell ref="A52:D52"/>
    <mergeCell ref="A53:C53"/>
    <mergeCell ref="A54:G54"/>
    <mergeCell ref="A56:D56"/>
    <mergeCell ref="A57:C57"/>
    <mergeCell ref="A58:G58"/>
    <mergeCell ref="A60:D60"/>
    <mergeCell ref="A61:C61"/>
    <mergeCell ref="A62:G62"/>
    <mergeCell ref="A64:D64"/>
    <mergeCell ref="A65:C65"/>
    <mergeCell ref="A66:G66"/>
    <mergeCell ref="A68:D68"/>
    <mergeCell ref="A69:C69"/>
    <mergeCell ref="A70:G70"/>
    <mergeCell ref="A72:D72"/>
    <mergeCell ref="A73:C73"/>
    <mergeCell ref="A74:G74"/>
    <mergeCell ref="A76:D76"/>
    <mergeCell ref="A77:C77"/>
    <mergeCell ref="A78:G78"/>
    <mergeCell ref="A80:D80"/>
    <mergeCell ref="A81:C81"/>
    <mergeCell ref="A82:G82"/>
    <mergeCell ref="A84:D84"/>
    <mergeCell ref="A85:C85"/>
    <mergeCell ref="A86:G86"/>
    <mergeCell ref="A88:D88"/>
    <mergeCell ref="A89:C89"/>
    <mergeCell ref="A90:G90"/>
    <mergeCell ref="A92:D92"/>
    <mergeCell ref="A93:C93"/>
    <mergeCell ref="A94:G94"/>
    <mergeCell ref="A96:D96"/>
    <mergeCell ref="A97:C97"/>
    <mergeCell ref="A98:G98"/>
    <mergeCell ref="A100:D100"/>
    <mergeCell ref="A101:C101"/>
    <mergeCell ref="A102:G102"/>
    <mergeCell ref="A104:D104"/>
    <mergeCell ref="A105:C105"/>
    <mergeCell ref="A106:G106"/>
    <mergeCell ref="A108:D108"/>
    <mergeCell ref="A109:C109"/>
    <mergeCell ref="A111:D111"/>
    <mergeCell ref="A112:C112"/>
    <mergeCell ref="A114:D114"/>
    <mergeCell ref="A115:C115"/>
    <mergeCell ref="A117:D117"/>
    <mergeCell ref="A118:C118"/>
    <mergeCell ref="A119:G119"/>
    <mergeCell ref="A121:D121"/>
    <mergeCell ref="A122:C122"/>
    <mergeCell ref="A123:G123"/>
    <mergeCell ref="A125:D125"/>
    <mergeCell ref="A126:C126"/>
    <mergeCell ref="A127:G127"/>
    <mergeCell ref="A129:D129"/>
    <mergeCell ref="A130:C130"/>
    <mergeCell ref="A131:G131"/>
    <mergeCell ref="A133:D133"/>
    <mergeCell ref="A134:C134"/>
    <mergeCell ref="A135:G135"/>
    <mergeCell ref="A137:D137"/>
    <mergeCell ref="A138:C138"/>
    <mergeCell ref="A140:D140"/>
    <mergeCell ref="A141:C141"/>
    <mergeCell ref="A142:G142"/>
    <mergeCell ref="A144:D144"/>
    <mergeCell ref="A145:C145"/>
    <mergeCell ref="A146:G146"/>
    <mergeCell ref="A148:D148"/>
    <mergeCell ref="A149:G149"/>
    <mergeCell ref="A151:D151"/>
    <mergeCell ref="A152:C152"/>
    <mergeCell ref="A153:G153"/>
    <mergeCell ref="A155:D155"/>
    <mergeCell ref="A156:C156"/>
    <mergeCell ref="A157:G157"/>
    <mergeCell ref="A159:D159"/>
    <mergeCell ref="A160:C160"/>
    <mergeCell ref="A161:G161"/>
    <mergeCell ref="A163:D163"/>
    <mergeCell ref="A164:C164"/>
    <mergeCell ref="A165:G165"/>
    <mergeCell ref="A167:D167"/>
    <mergeCell ref="A168:C168"/>
    <mergeCell ref="A169:G169"/>
    <mergeCell ref="A171:D171"/>
    <mergeCell ref="A172:C172"/>
    <mergeCell ref="A173:G173"/>
    <mergeCell ref="A175:D175"/>
    <mergeCell ref="A176:C176"/>
    <mergeCell ref="A177:G177"/>
    <mergeCell ref="A179:D179"/>
    <mergeCell ref="A180:C180"/>
    <mergeCell ref="A181:G181"/>
    <mergeCell ref="A183:D183"/>
    <mergeCell ref="A184:C184"/>
    <mergeCell ref="A185:G185"/>
    <mergeCell ref="A187:D187"/>
    <mergeCell ref="A188:C188"/>
    <mergeCell ref="A189:G189"/>
    <mergeCell ref="A191:D191"/>
    <mergeCell ref="A192:C192"/>
    <mergeCell ref="A193:G193"/>
    <mergeCell ref="A195:D195"/>
    <mergeCell ref="A196:C196"/>
    <mergeCell ref="A198:D198"/>
    <mergeCell ref="A199:C199"/>
    <mergeCell ref="A200:G200"/>
    <mergeCell ref="A202:D202"/>
    <mergeCell ref="A203:C203"/>
    <mergeCell ref="A204:G204"/>
    <mergeCell ref="A206:D206"/>
    <mergeCell ref="A207:C207"/>
    <mergeCell ref="A208:G208"/>
    <mergeCell ref="A211:C211"/>
    <mergeCell ref="D211:G211"/>
    <mergeCell ref="A212:C212"/>
    <mergeCell ref="D212:G212"/>
    <mergeCell ref="A213:G213"/>
  </mergeCells>
  <pageMargins left="0.4" right="0.4" top="0.6" bottom="0.6" header="0.3" footer="0.3"/>
  <pageSetup orientation="landscape" paperSize="9" fitToWidth="1" fitToHeight="0"/>
</worksheet>
</file>

<file path=docProps/app.xml><?xml version="1.0" encoding="utf-8"?>
<Properties xmlns="http://schemas.openxmlformats.org/officeDocument/2006/extended-properties">
  <Application>Detecta</Application>
</Properties>
</file>

<file path=docProps/core.xml><?xml version="1.0" encoding="utf-8"?>
<cp:coreProperties xmlns:cp="http://schemas.openxmlformats.org/package/2006/metadata/core-properties" xmlns:dc="http://purl.org/dc/elements/1.1/">
  <dc:title>Análisis de Precios Unitarios</dc:title>
  <dc:creator>Detecta</dc:creator>
</cp:coreProperties>
</file>